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bojyoti (DJ)\Downloads\"/>
    </mc:Choice>
  </mc:AlternateContent>
  <xr:revisionPtr revIDLastSave="0" documentId="13_ncr:1_{A6C35A1D-90C6-4F4B-8A58-949622E7705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ecutive_Summary" sheetId="8" r:id="rId1"/>
    <sheet name="Portfolio_Summary(Weighted ROI)" sheetId="3" r:id="rId2"/>
    <sheet name="Diagnostic_Analysis" sheetId="4" r:id="rId3"/>
    <sheet name="Capital Reallocation Model" sheetId="6" r:id="rId4"/>
    <sheet name="Portfolio_Data" sheetId="1" r:id="rId5"/>
    <sheet name="Market_Indicators" sheetId="2" r:id="rId6"/>
  </sheets>
  <definedNames>
    <definedName name="_xlnm._FilterDatabase" localSheetId="3" hidden="1">'Capital Reallocation Model'!$A$35:$B$35</definedName>
    <definedName name="_xlnm._FilterDatabase" localSheetId="5" hidden="1">Market_Indicators!$A$1:$G$1</definedName>
    <definedName name="_xlnm._FilterDatabase" localSheetId="4" hidden="1">Portfolio_Data!$A$1:$N$1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8" l="1"/>
  <c r="F18" i="8"/>
  <c r="F17" i="8"/>
  <c r="F16" i="8"/>
  <c r="X2" i="6"/>
  <c r="Y2" i="6"/>
  <c r="B31" i="6"/>
  <c r="F35" i="6"/>
  <c r="N12" i="6" a="1"/>
  <c r="N12" i="6" s="1"/>
  <c r="N11" i="6" a="1"/>
  <c r="N11" i="6" s="1"/>
  <c r="B22" i="6"/>
  <c r="B24" i="6" s="1"/>
  <c r="B16" i="6"/>
  <c r="B6" i="6"/>
  <c r="B12" i="6" s="1"/>
  <c r="B13" i="6" s="1"/>
  <c r="B14" i="6" s="1"/>
  <c r="B15" i="6" s="1"/>
  <c r="AC4" i="6"/>
  <c r="AB4" i="6"/>
  <c r="S4" i="6"/>
  <c r="P4" i="6"/>
  <c r="O4" i="6"/>
  <c r="AC3" i="6"/>
  <c r="AB3" i="6"/>
  <c r="S3" i="6"/>
  <c r="P3" i="6"/>
  <c r="O3" i="6"/>
  <c r="AC2" i="6"/>
  <c r="AB2" i="6"/>
  <c r="S2" i="6"/>
  <c r="P2" i="6"/>
  <c r="O2" i="6"/>
  <c r="S25" i="1"/>
  <c r="R25" i="1" s="1"/>
  <c r="S16" i="1"/>
  <c r="R16" i="1" s="1"/>
  <c r="S8" i="1"/>
  <c r="R8" i="1" s="1"/>
  <c r="S96" i="1"/>
  <c r="R96" i="1" s="1"/>
  <c r="S2" i="1"/>
  <c r="R2" i="1" s="1"/>
  <c r="S39" i="1"/>
  <c r="R39" i="1" s="1"/>
  <c r="S10" i="1"/>
  <c r="R10" i="1" s="1"/>
  <c r="S26" i="1"/>
  <c r="R26" i="1" s="1"/>
  <c r="S69" i="1"/>
  <c r="R69" i="1" s="1"/>
  <c r="S102" i="1"/>
  <c r="R102" i="1" s="1"/>
  <c r="S6" i="1"/>
  <c r="R6" i="1" s="1"/>
  <c r="S32" i="1"/>
  <c r="R32" i="1" s="1"/>
  <c r="S4" i="1"/>
  <c r="R4" i="1" s="1"/>
  <c r="S3" i="1"/>
  <c r="R3" i="1" s="1"/>
  <c r="S18" i="1"/>
  <c r="R18" i="1" s="1"/>
  <c r="S58" i="1"/>
  <c r="R58" i="1" s="1"/>
  <c r="S11" i="1"/>
  <c r="R11" i="1" s="1"/>
  <c r="S13" i="1"/>
  <c r="R13" i="1" s="1"/>
  <c r="S48" i="1"/>
  <c r="R48" i="1" s="1"/>
  <c r="S37" i="1"/>
  <c r="R37" i="1" s="1"/>
  <c r="S7" i="1"/>
  <c r="R7" i="1" s="1"/>
  <c r="S52" i="1"/>
  <c r="R52" i="1" s="1"/>
  <c r="S53" i="1"/>
  <c r="R53" i="1" s="1"/>
  <c r="S28" i="1"/>
  <c r="R28" i="1" s="1"/>
  <c r="S78" i="1"/>
  <c r="R78" i="1" s="1"/>
  <c r="S71" i="1"/>
  <c r="R71" i="1" s="1"/>
  <c r="S29" i="1"/>
  <c r="R29" i="1" s="1"/>
  <c r="S35" i="1"/>
  <c r="R35" i="1" s="1"/>
  <c r="S23" i="1"/>
  <c r="R23" i="1" s="1"/>
  <c r="S20" i="1"/>
  <c r="R20" i="1" s="1"/>
  <c r="S111" i="1"/>
  <c r="R111" i="1" s="1"/>
  <c r="S44" i="1"/>
  <c r="R44" i="1" s="1"/>
  <c r="S17" i="1"/>
  <c r="R17" i="1" s="1"/>
  <c r="S31" i="1"/>
  <c r="R31" i="1" s="1"/>
  <c r="S30" i="1"/>
  <c r="R30" i="1" s="1"/>
  <c r="S41" i="1"/>
  <c r="R41" i="1" s="1"/>
  <c r="S19" i="1"/>
  <c r="R19" i="1" s="1"/>
  <c r="S98" i="1"/>
  <c r="R98" i="1" s="1"/>
  <c r="S22" i="1"/>
  <c r="R22" i="1" s="1"/>
  <c r="S24" i="1"/>
  <c r="R24" i="1" s="1"/>
  <c r="S27" i="1"/>
  <c r="R27" i="1" s="1"/>
  <c r="S34" i="1"/>
  <c r="R34" i="1" s="1"/>
  <c r="S55" i="1"/>
  <c r="R55" i="1" s="1"/>
  <c r="S123" i="1"/>
  <c r="R123" i="1" s="1"/>
  <c r="S57" i="1"/>
  <c r="R57" i="1" s="1"/>
  <c r="S54" i="1"/>
  <c r="R54" i="1" s="1"/>
  <c r="S43" i="1"/>
  <c r="R43" i="1" s="1"/>
  <c r="S33" i="1"/>
  <c r="R33" i="1" s="1"/>
  <c r="S40" i="1"/>
  <c r="R40" i="1" s="1"/>
  <c r="S59" i="1"/>
  <c r="R59" i="1" s="1"/>
  <c r="S49" i="1"/>
  <c r="R49" i="1" s="1"/>
  <c r="S92" i="1"/>
  <c r="R92" i="1" s="1"/>
  <c r="S89" i="1"/>
  <c r="R89" i="1" s="1"/>
  <c r="S46" i="1"/>
  <c r="R46" i="1" s="1"/>
  <c r="S76" i="1"/>
  <c r="R76" i="1" s="1"/>
  <c r="S103" i="1"/>
  <c r="R103" i="1" s="1"/>
  <c r="S80" i="1"/>
  <c r="R80" i="1" s="1"/>
  <c r="S64" i="1"/>
  <c r="R64" i="1" s="1"/>
  <c r="S132" i="1"/>
  <c r="R132" i="1" s="1"/>
  <c r="S84" i="1"/>
  <c r="R84" i="1" s="1"/>
  <c r="S109" i="1"/>
  <c r="R109" i="1" s="1"/>
  <c r="S61" i="1"/>
  <c r="R61" i="1" s="1"/>
  <c r="S100" i="1"/>
  <c r="R100" i="1" s="1"/>
  <c r="S62" i="1"/>
  <c r="R62" i="1" s="1"/>
  <c r="S68" i="1"/>
  <c r="R68" i="1" s="1"/>
  <c r="S75" i="1"/>
  <c r="R75" i="1" s="1"/>
  <c r="S72" i="1"/>
  <c r="R72" i="1" s="1"/>
  <c r="S82" i="1"/>
  <c r="R82" i="1" s="1"/>
  <c r="S94" i="1"/>
  <c r="R94" i="1" s="1"/>
  <c r="S105" i="1"/>
  <c r="R105" i="1" s="1"/>
  <c r="S137" i="1"/>
  <c r="R137" i="1" s="1"/>
  <c r="S149" i="1"/>
  <c r="R149" i="1" s="1"/>
  <c r="S124" i="1"/>
  <c r="R124" i="1" s="1"/>
  <c r="S87" i="1"/>
  <c r="R87" i="1" s="1"/>
  <c r="S77" i="1"/>
  <c r="R77" i="1" s="1"/>
  <c r="S91" i="1"/>
  <c r="R91" i="1" s="1"/>
  <c r="S93" i="1"/>
  <c r="R93" i="1" s="1"/>
  <c r="S120" i="1"/>
  <c r="R120" i="1" s="1"/>
  <c r="S119" i="1"/>
  <c r="R119" i="1" s="1"/>
  <c r="S127" i="1"/>
  <c r="R127" i="1" s="1"/>
  <c r="S104" i="1"/>
  <c r="R104" i="1" s="1"/>
  <c r="S101" i="1"/>
  <c r="R101" i="1" s="1"/>
  <c r="S90" i="1"/>
  <c r="R90" i="1" s="1"/>
  <c r="S107" i="1"/>
  <c r="R107" i="1" s="1"/>
  <c r="S125" i="1"/>
  <c r="R125" i="1" s="1"/>
  <c r="S117" i="1"/>
  <c r="R117" i="1" s="1"/>
  <c r="S121" i="1"/>
  <c r="R121" i="1" s="1"/>
  <c r="S115" i="1"/>
  <c r="R115" i="1" s="1"/>
  <c r="S131" i="1"/>
  <c r="R131" i="1" s="1"/>
  <c r="S9" i="1"/>
  <c r="R9" i="1" s="1"/>
  <c r="S116" i="1"/>
  <c r="R116" i="1" s="1"/>
  <c r="S141" i="1"/>
  <c r="R141" i="1" s="1"/>
  <c r="S136" i="1"/>
  <c r="R136" i="1" s="1"/>
  <c r="S140" i="1"/>
  <c r="R140" i="1" s="1"/>
  <c r="S126" i="1"/>
  <c r="R126" i="1" s="1"/>
  <c r="S129" i="1"/>
  <c r="R129" i="1" s="1"/>
  <c r="S134" i="1"/>
  <c r="R134" i="1" s="1"/>
  <c r="S130" i="1"/>
  <c r="R130" i="1" s="1"/>
  <c r="S45" i="1"/>
  <c r="R45" i="1" s="1"/>
  <c r="S135" i="1"/>
  <c r="R135" i="1" s="1"/>
  <c r="S133" i="1"/>
  <c r="R133" i="1" s="1"/>
  <c r="S106" i="1"/>
  <c r="R106" i="1" s="1"/>
  <c r="S144" i="1"/>
  <c r="R144" i="1" s="1"/>
  <c r="S143" i="1"/>
  <c r="R143" i="1" s="1"/>
  <c r="S138" i="1"/>
  <c r="R138" i="1" s="1"/>
  <c r="S139" i="1"/>
  <c r="R139" i="1" s="1"/>
  <c r="S142" i="1"/>
  <c r="R142" i="1" s="1"/>
  <c r="S148" i="1"/>
  <c r="R148" i="1" s="1"/>
  <c r="S74" i="1"/>
  <c r="R74" i="1" s="1"/>
  <c r="S145" i="1"/>
  <c r="R145" i="1" s="1"/>
  <c r="S50" i="1"/>
  <c r="R50" i="1" s="1"/>
  <c r="S151" i="1"/>
  <c r="R151" i="1" s="1"/>
  <c r="S146" i="1"/>
  <c r="R146" i="1" s="1"/>
  <c r="S150" i="1"/>
  <c r="R150" i="1" s="1"/>
  <c r="S65" i="1"/>
  <c r="R65" i="1" s="1"/>
  <c r="S108" i="1"/>
  <c r="R108" i="1" s="1"/>
  <c r="S118" i="1"/>
  <c r="R118" i="1" s="1"/>
  <c r="S114" i="1"/>
  <c r="R114" i="1" s="1"/>
  <c r="S38" i="1"/>
  <c r="R38" i="1" s="1"/>
  <c r="S99" i="1"/>
  <c r="R99" i="1" s="1"/>
  <c r="S14" i="1"/>
  <c r="R14" i="1" s="1"/>
  <c r="S97" i="1"/>
  <c r="R97" i="1" s="1"/>
  <c r="S79" i="1"/>
  <c r="R79" i="1" s="1"/>
  <c r="S88" i="1"/>
  <c r="R88" i="1" s="1"/>
  <c r="S110" i="1"/>
  <c r="R110" i="1" s="1"/>
  <c r="S66" i="1"/>
  <c r="R66" i="1" s="1"/>
  <c r="S12" i="1"/>
  <c r="R12" i="1" s="1"/>
  <c r="S51" i="1"/>
  <c r="R51" i="1" s="1"/>
  <c r="S95" i="1"/>
  <c r="R95" i="1" s="1"/>
  <c r="S60" i="1"/>
  <c r="R60" i="1" s="1"/>
  <c r="S21" i="1"/>
  <c r="R21" i="1" s="1"/>
  <c r="S70" i="1"/>
  <c r="R70" i="1" s="1"/>
  <c r="S122" i="1"/>
  <c r="R122" i="1" s="1"/>
  <c r="S67" i="1"/>
  <c r="R67" i="1" s="1"/>
  <c r="S47" i="1"/>
  <c r="R47" i="1" s="1"/>
  <c r="S147" i="1"/>
  <c r="R147" i="1" s="1"/>
  <c r="S56" i="1"/>
  <c r="R56" i="1" s="1"/>
  <c r="S81" i="1"/>
  <c r="R81" i="1" s="1"/>
  <c r="S36" i="1"/>
  <c r="R36" i="1" s="1"/>
  <c r="S63" i="1"/>
  <c r="R63" i="1" s="1"/>
  <c r="S42" i="1"/>
  <c r="R42" i="1" s="1"/>
  <c r="S113" i="1"/>
  <c r="R113" i="1" s="1"/>
  <c r="S86" i="1"/>
  <c r="R86" i="1" s="1"/>
  <c r="S112" i="1"/>
  <c r="R112" i="1" s="1"/>
  <c r="S15" i="1"/>
  <c r="R15" i="1" s="1"/>
  <c r="S73" i="1"/>
  <c r="R73" i="1" s="1"/>
  <c r="S128" i="1"/>
  <c r="R128" i="1" s="1"/>
  <c r="S83" i="1"/>
  <c r="R83" i="1" s="1"/>
  <c r="S5" i="1"/>
  <c r="R5" i="1" s="1"/>
  <c r="S85" i="1"/>
  <c r="R85" i="1" s="1"/>
  <c r="AC19" i="1"/>
  <c r="AC101" i="1"/>
  <c r="AC33" i="1"/>
  <c r="AC17" i="1"/>
  <c r="AC145" i="1"/>
  <c r="AC62" i="1"/>
  <c r="AC134" i="1"/>
  <c r="AC35" i="1"/>
  <c r="AC143" i="1"/>
  <c r="AC7" i="1"/>
  <c r="AC138" i="1"/>
  <c r="AC61" i="1"/>
  <c r="AC129" i="1"/>
  <c r="AC22" i="1"/>
  <c r="AC68" i="1"/>
  <c r="AC107" i="1"/>
  <c r="AC89" i="1"/>
  <c r="AC75" i="1"/>
  <c r="AC148" i="1"/>
  <c r="AC124" i="1"/>
  <c r="AC117" i="1"/>
  <c r="AC13" i="1"/>
  <c r="AC46" i="1"/>
  <c r="AC48" i="1"/>
  <c r="AC71" i="1"/>
  <c r="AC149" i="1"/>
  <c r="AC39" i="1"/>
  <c r="AC41" i="1"/>
  <c r="AC133" i="1"/>
  <c r="AC83" i="1"/>
  <c r="AC57" i="1"/>
  <c r="AC127" i="1"/>
  <c r="AC123" i="1"/>
  <c r="AC28" i="1"/>
  <c r="AC76" i="1"/>
  <c r="AC125" i="1"/>
  <c r="AC8" i="1"/>
  <c r="AC132" i="1"/>
  <c r="AC105" i="1"/>
  <c r="AC115" i="1"/>
  <c r="AC96" i="1"/>
  <c r="AC150" i="1"/>
  <c r="AC94" i="1"/>
  <c r="AC136" i="1"/>
  <c r="AC11" i="1"/>
  <c r="AC43" i="1"/>
  <c r="AC98" i="1"/>
  <c r="AC130" i="1"/>
  <c r="AC91" i="1"/>
  <c r="AC147" i="1"/>
  <c r="AC9" i="1"/>
  <c r="AC67" i="1"/>
  <c r="AC34" i="1"/>
  <c r="AC77" i="1"/>
  <c r="AC70" i="1"/>
  <c r="AC95" i="1"/>
  <c r="AC82" i="1"/>
  <c r="AC93" i="1"/>
  <c r="AC16" i="1"/>
  <c r="AC137" i="1"/>
  <c r="AC141" i="1"/>
  <c r="AC56" i="1"/>
  <c r="AC119" i="1"/>
  <c r="AC50" i="1"/>
  <c r="AC3" i="1"/>
  <c r="AC120" i="1"/>
  <c r="AC151" i="1"/>
  <c r="AC20" i="1"/>
  <c r="AC126" i="1"/>
  <c r="AC31" i="1"/>
  <c r="AC24" i="1"/>
  <c r="AC84" i="1"/>
  <c r="AC63" i="1"/>
  <c r="AC59" i="1"/>
  <c r="AC72" i="1"/>
  <c r="AC81" i="1"/>
  <c r="AC87" i="1"/>
  <c r="AC18" i="1"/>
  <c r="AC49" i="1"/>
  <c r="AC131" i="1"/>
  <c r="AC30" i="1"/>
  <c r="AC103" i="1"/>
  <c r="AC139" i="1"/>
  <c r="AC112" i="1"/>
  <c r="AC142" i="1"/>
  <c r="AC27" i="1"/>
  <c r="AC55" i="1"/>
  <c r="AC122" i="1"/>
  <c r="AC26" i="1"/>
  <c r="AC146" i="1"/>
  <c r="AC104" i="1"/>
  <c r="AC121" i="1"/>
  <c r="AC40" i="1"/>
  <c r="AC15" i="1"/>
  <c r="AC90" i="1"/>
  <c r="AC66" i="1"/>
  <c r="AC23" i="1"/>
  <c r="AC60" i="1"/>
  <c r="AC92" i="1"/>
  <c r="AC25" i="1"/>
  <c r="AC47" i="1"/>
  <c r="AC42" i="1"/>
  <c r="AC140" i="1"/>
  <c r="AC32" i="1"/>
  <c r="AC4" i="1"/>
  <c r="AC118" i="1"/>
  <c r="AC99" i="1"/>
  <c r="AC116" i="1"/>
  <c r="AC113" i="1"/>
  <c r="AC100" i="1"/>
  <c r="AC64" i="1"/>
  <c r="AC97" i="1"/>
  <c r="AC52" i="1"/>
  <c r="AC54" i="1"/>
  <c r="AC109" i="1"/>
  <c r="AC128" i="1"/>
  <c r="AC86" i="1"/>
  <c r="AC73" i="1"/>
  <c r="AC78" i="1"/>
  <c r="AC58" i="1"/>
  <c r="AC111" i="1"/>
  <c r="AC80" i="1"/>
  <c r="AC53" i="1"/>
  <c r="AC65" i="1"/>
  <c r="AC29" i="1"/>
  <c r="AC114" i="1"/>
  <c r="AC10" i="1"/>
  <c r="AC135" i="1"/>
  <c r="AC110" i="1"/>
  <c r="AC106" i="1"/>
  <c r="AC2" i="1"/>
  <c r="AC44" i="1"/>
  <c r="AC88" i="1"/>
  <c r="AC85" i="1"/>
  <c r="AC51" i="1"/>
  <c r="AC144" i="1"/>
  <c r="AC21" i="1"/>
  <c r="AC38" i="1"/>
  <c r="AC37" i="1"/>
  <c r="AC102" i="1"/>
  <c r="AC6" i="1"/>
  <c r="AC108" i="1"/>
  <c r="AC74" i="1"/>
  <c r="AC5" i="1"/>
  <c r="AC69" i="1"/>
  <c r="AC12" i="1"/>
  <c r="AC79" i="1"/>
  <c r="AC36" i="1"/>
  <c r="AC45" i="1"/>
  <c r="AC14" i="1"/>
  <c r="AB19" i="1"/>
  <c r="AB101" i="1"/>
  <c r="AB33" i="1"/>
  <c r="AB17" i="1"/>
  <c r="AB145" i="1"/>
  <c r="AB62" i="1"/>
  <c r="AB134" i="1"/>
  <c r="AB35" i="1"/>
  <c r="AB143" i="1"/>
  <c r="AB7" i="1"/>
  <c r="AB138" i="1"/>
  <c r="AB61" i="1"/>
  <c r="AB129" i="1"/>
  <c r="AB22" i="1"/>
  <c r="AB68" i="1"/>
  <c r="AB107" i="1"/>
  <c r="AB89" i="1"/>
  <c r="AB75" i="1"/>
  <c r="AB148" i="1"/>
  <c r="AB124" i="1"/>
  <c r="AB117" i="1"/>
  <c r="AB13" i="1"/>
  <c r="AB46" i="1"/>
  <c r="AB48" i="1"/>
  <c r="AB71" i="1"/>
  <c r="AB149" i="1"/>
  <c r="AB39" i="1"/>
  <c r="AB41" i="1"/>
  <c r="AB133" i="1"/>
  <c r="AB83" i="1"/>
  <c r="AB57" i="1"/>
  <c r="AB127" i="1"/>
  <c r="AB123" i="1"/>
  <c r="AB28" i="1"/>
  <c r="AB76" i="1"/>
  <c r="AB125" i="1"/>
  <c r="AB8" i="1"/>
  <c r="AB132" i="1"/>
  <c r="AB105" i="1"/>
  <c r="AB115" i="1"/>
  <c r="AB96" i="1"/>
  <c r="AB150" i="1"/>
  <c r="AB94" i="1"/>
  <c r="AB136" i="1"/>
  <c r="AB11" i="1"/>
  <c r="AB43" i="1"/>
  <c r="AB98" i="1"/>
  <c r="AB130" i="1"/>
  <c r="AB91" i="1"/>
  <c r="AB147" i="1"/>
  <c r="AB9" i="1"/>
  <c r="AB67" i="1"/>
  <c r="AB34" i="1"/>
  <c r="AB77" i="1"/>
  <c r="AB70" i="1"/>
  <c r="AB95" i="1"/>
  <c r="AB82" i="1"/>
  <c r="AB93" i="1"/>
  <c r="AB16" i="1"/>
  <c r="AB137" i="1"/>
  <c r="AB141" i="1"/>
  <c r="AB56" i="1"/>
  <c r="AB119" i="1"/>
  <c r="AB50" i="1"/>
  <c r="AB3" i="1"/>
  <c r="AB120" i="1"/>
  <c r="AB151" i="1"/>
  <c r="AB20" i="1"/>
  <c r="AB126" i="1"/>
  <c r="AB31" i="1"/>
  <c r="AB24" i="1"/>
  <c r="AB84" i="1"/>
  <c r="AB63" i="1"/>
  <c r="AB59" i="1"/>
  <c r="AB72" i="1"/>
  <c r="AB81" i="1"/>
  <c r="AB87" i="1"/>
  <c r="AB18" i="1"/>
  <c r="AB49" i="1"/>
  <c r="AB131" i="1"/>
  <c r="AB30" i="1"/>
  <c r="AB103" i="1"/>
  <c r="AB139" i="1"/>
  <c r="AB112" i="1"/>
  <c r="AB142" i="1"/>
  <c r="AB27" i="1"/>
  <c r="AB55" i="1"/>
  <c r="AB122" i="1"/>
  <c r="AB26" i="1"/>
  <c r="AB146" i="1"/>
  <c r="AB104" i="1"/>
  <c r="AB121" i="1"/>
  <c r="AB40" i="1"/>
  <c r="AB15" i="1"/>
  <c r="AB90" i="1"/>
  <c r="AB66" i="1"/>
  <c r="AB23" i="1"/>
  <c r="AB60" i="1"/>
  <c r="AB92" i="1"/>
  <c r="AB25" i="1"/>
  <c r="AB47" i="1"/>
  <c r="AB42" i="1"/>
  <c r="AB140" i="1"/>
  <c r="AB32" i="1"/>
  <c r="AB4" i="1"/>
  <c r="AB118" i="1"/>
  <c r="AB99" i="1"/>
  <c r="AB116" i="1"/>
  <c r="AB113" i="1"/>
  <c r="AB100" i="1"/>
  <c r="AB64" i="1"/>
  <c r="AB97" i="1"/>
  <c r="AB52" i="1"/>
  <c r="AB54" i="1"/>
  <c r="AB109" i="1"/>
  <c r="AB128" i="1"/>
  <c r="AB86" i="1"/>
  <c r="AB73" i="1"/>
  <c r="AB78" i="1"/>
  <c r="AB58" i="1"/>
  <c r="AB111" i="1"/>
  <c r="AB80" i="1"/>
  <c r="AB53" i="1"/>
  <c r="AB65" i="1"/>
  <c r="AB29" i="1"/>
  <c r="AB114" i="1"/>
  <c r="AB10" i="1"/>
  <c r="AB135" i="1"/>
  <c r="AB110" i="1"/>
  <c r="AB106" i="1"/>
  <c r="AB2" i="1"/>
  <c r="AB44" i="1"/>
  <c r="AB88" i="1"/>
  <c r="AB85" i="1"/>
  <c r="AB51" i="1"/>
  <c r="AB144" i="1"/>
  <c r="AB21" i="1"/>
  <c r="AB38" i="1"/>
  <c r="AB37" i="1"/>
  <c r="AB102" i="1"/>
  <c r="AB6" i="1"/>
  <c r="AB108" i="1"/>
  <c r="AB74" i="1"/>
  <c r="AB5" i="1"/>
  <c r="AB69" i="1"/>
  <c r="AB12" i="1"/>
  <c r="AB79" i="1"/>
  <c r="AB36" i="1"/>
  <c r="AB45" i="1"/>
  <c r="AB14" i="1"/>
  <c r="B4" i="3"/>
  <c r="P142" i="1"/>
  <c r="P109" i="1"/>
  <c r="P110" i="1"/>
  <c r="P108" i="1"/>
  <c r="P92" i="1"/>
  <c r="P102" i="1"/>
  <c r="P131" i="1"/>
  <c r="P85" i="1"/>
  <c r="P119" i="1"/>
  <c r="P11" i="1"/>
  <c r="P60" i="1"/>
  <c r="P48" i="1"/>
  <c r="P147" i="1"/>
  <c r="P59" i="1"/>
  <c r="P138" i="1"/>
  <c r="P77" i="1"/>
  <c r="P97" i="1"/>
  <c r="P49" i="1"/>
  <c r="P139" i="1"/>
  <c r="P29" i="1"/>
  <c r="P151" i="1"/>
  <c r="P12" i="1"/>
  <c r="P122" i="1"/>
  <c r="P90" i="1"/>
  <c r="P14" i="1"/>
  <c r="P145" i="1"/>
  <c r="P140" i="1"/>
  <c r="P8" i="1"/>
  <c r="P23" i="1"/>
  <c r="P70" i="1"/>
  <c r="P22" i="1"/>
  <c r="AF22" i="1" s="1"/>
  <c r="P28" i="1"/>
  <c r="P37" i="1"/>
  <c r="P117" i="1"/>
  <c r="P105" i="1"/>
  <c r="P149" i="1"/>
  <c r="P30" i="1"/>
  <c r="P72" i="1"/>
  <c r="P63" i="1"/>
  <c r="P127" i="1"/>
  <c r="P89" i="1"/>
  <c r="P19" i="1"/>
  <c r="AF19" i="1" s="1"/>
  <c r="P18" i="1"/>
  <c r="P111" i="1"/>
  <c r="AF111" i="1" s="1"/>
  <c r="P96" i="1"/>
  <c r="P94" i="1"/>
  <c r="P100" i="1"/>
  <c r="P38" i="1"/>
  <c r="AF38" i="1" s="1"/>
  <c r="P74" i="1"/>
  <c r="P84" i="1"/>
  <c r="P25" i="1"/>
  <c r="P35" i="1"/>
  <c r="P130" i="1"/>
  <c r="AF130" i="1" s="1"/>
  <c r="P5" i="1"/>
  <c r="P87" i="1"/>
  <c r="P112" i="1"/>
  <c r="P64" i="1"/>
  <c r="P42" i="1"/>
  <c r="P32" i="1"/>
  <c r="P134" i="1"/>
  <c r="AF134" i="1" s="1"/>
  <c r="P10" i="1"/>
  <c r="P88" i="1"/>
  <c r="P41" i="1"/>
  <c r="P78" i="1"/>
  <c r="AF78" i="1" s="1"/>
  <c r="P47" i="1"/>
  <c r="P24" i="1"/>
  <c r="P83" i="1"/>
  <c r="P27" i="1"/>
  <c r="P135" i="1"/>
  <c r="P132" i="1"/>
  <c r="P98" i="1"/>
  <c r="P76" i="1"/>
  <c r="P114" i="1"/>
  <c r="P106" i="1"/>
  <c r="P103" i="1"/>
  <c r="AF103" i="1" s="1"/>
  <c r="P31" i="1"/>
  <c r="P68" i="1"/>
  <c r="P43" i="1"/>
  <c r="P15" i="1"/>
  <c r="P65" i="1"/>
  <c r="P137" i="1"/>
  <c r="P6" i="1"/>
  <c r="P57" i="1"/>
  <c r="P52" i="1"/>
  <c r="P133" i="1"/>
  <c r="P55" i="1"/>
  <c r="P62" i="1"/>
  <c r="P56" i="1"/>
  <c r="P53" i="1"/>
  <c r="P50" i="1"/>
  <c r="P46" i="1"/>
  <c r="P45" i="1"/>
  <c r="P7" i="1"/>
  <c r="P73" i="1"/>
  <c r="P99" i="1"/>
  <c r="P86" i="1"/>
  <c r="P36" i="1"/>
  <c r="P146" i="1"/>
  <c r="P123" i="1"/>
  <c r="P4" i="1"/>
  <c r="P93" i="1"/>
  <c r="P2" i="1"/>
  <c r="P129" i="1"/>
  <c r="AF129" i="1" s="1"/>
  <c r="P91" i="1"/>
  <c r="AF91" i="1" s="1"/>
  <c r="P21" i="1"/>
  <c r="P33" i="1"/>
  <c r="P126" i="1"/>
  <c r="P80" i="1"/>
  <c r="P136" i="1"/>
  <c r="AF136" i="1" s="1"/>
  <c r="P125" i="1"/>
  <c r="P58" i="1"/>
  <c r="P141" i="1"/>
  <c r="P148" i="1"/>
  <c r="P150" i="1"/>
  <c r="P120" i="1"/>
  <c r="P95" i="1"/>
  <c r="P81" i="1"/>
  <c r="AF81" i="1" s="1"/>
  <c r="P118" i="1"/>
  <c r="P144" i="1"/>
  <c r="P82" i="1"/>
  <c r="P75" i="1"/>
  <c r="P51" i="1"/>
  <c r="P13" i="1"/>
  <c r="AF13" i="1" s="1"/>
  <c r="P26" i="1"/>
  <c r="P143" i="1"/>
  <c r="P69" i="1"/>
  <c r="AF69" i="1" s="1"/>
  <c r="P71" i="1"/>
  <c r="AF71" i="1" s="1"/>
  <c r="P34" i="1"/>
  <c r="P16" i="1"/>
  <c r="P104" i="1"/>
  <c r="P67" i="1"/>
  <c r="P116" i="1"/>
  <c r="P124" i="1"/>
  <c r="AF124" i="1" s="1"/>
  <c r="P101" i="1"/>
  <c r="P121" i="1"/>
  <c r="P79" i="1"/>
  <c r="P107" i="1"/>
  <c r="P54" i="1"/>
  <c r="P61" i="1"/>
  <c r="P66" i="1"/>
  <c r="P113" i="1"/>
  <c r="AF113" i="1" s="1"/>
  <c r="P9" i="1"/>
  <c r="P3" i="1"/>
  <c r="P39" i="1"/>
  <c r="AF39" i="1" s="1"/>
  <c r="P40" i="1"/>
  <c r="P44" i="1"/>
  <c r="P128" i="1"/>
  <c r="P115" i="1"/>
  <c r="P17" i="1"/>
  <c r="P20" i="1"/>
  <c r="O142" i="1"/>
  <c r="Q142" i="1" s="1"/>
  <c r="V142" i="1" s="1"/>
  <c r="O110" i="1"/>
  <c r="Q110" i="1" s="1"/>
  <c r="V110" i="1" s="1"/>
  <c r="O108" i="1"/>
  <c r="Q108" i="1" s="1"/>
  <c r="V108" i="1" s="1"/>
  <c r="O92" i="1"/>
  <c r="Q92" i="1" s="1"/>
  <c r="V92" i="1" s="1"/>
  <c r="O102" i="1"/>
  <c r="Q102" i="1" s="1"/>
  <c r="V102" i="1" s="1"/>
  <c r="O109" i="1"/>
  <c r="Q109" i="1" s="1"/>
  <c r="V109" i="1" s="1"/>
  <c r="O131" i="1"/>
  <c r="Q131" i="1" s="1"/>
  <c r="V131" i="1" s="1"/>
  <c r="O85" i="1"/>
  <c r="Q85" i="1" s="1"/>
  <c r="V85" i="1" s="1"/>
  <c r="O119" i="1"/>
  <c r="Q119" i="1" s="1"/>
  <c r="V119" i="1" s="1"/>
  <c r="O11" i="1"/>
  <c r="Q11" i="1" s="1"/>
  <c r="V11" i="1" s="1"/>
  <c r="O60" i="1"/>
  <c r="Q60" i="1" s="1"/>
  <c r="V60" i="1" s="1"/>
  <c r="O48" i="1"/>
  <c r="Q48" i="1" s="1"/>
  <c r="V48" i="1" s="1"/>
  <c r="O147" i="1"/>
  <c r="Q147" i="1" s="1"/>
  <c r="V147" i="1" s="1"/>
  <c r="O59" i="1"/>
  <c r="Q59" i="1" s="1"/>
  <c r="V59" i="1" s="1"/>
  <c r="O138" i="1"/>
  <c r="Q138" i="1" s="1"/>
  <c r="V138" i="1" s="1"/>
  <c r="O77" i="1"/>
  <c r="Q77" i="1" s="1"/>
  <c r="V77" i="1" s="1"/>
  <c r="O97" i="1"/>
  <c r="Q97" i="1" s="1"/>
  <c r="V97" i="1" s="1"/>
  <c r="O49" i="1"/>
  <c r="Q49" i="1" s="1"/>
  <c r="V49" i="1" s="1"/>
  <c r="O139" i="1"/>
  <c r="Q139" i="1" s="1"/>
  <c r="V139" i="1" s="1"/>
  <c r="O29" i="1"/>
  <c r="Q29" i="1" s="1"/>
  <c r="V29" i="1" s="1"/>
  <c r="O151" i="1"/>
  <c r="Q151" i="1" s="1"/>
  <c r="V151" i="1" s="1"/>
  <c r="O12" i="1"/>
  <c r="Q12" i="1" s="1"/>
  <c r="V12" i="1" s="1"/>
  <c r="O122" i="1"/>
  <c r="Q122" i="1" s="1"/>
  <c r="V122" i="1" s="1"/>
  <c r="O90" i="1"/>
  <c r="Q90" i="1" s="1"/>
  <c r="V90" i="1" s="1"/>
  <c r="O14" i="1"/>
  <c r="Q14" i="1" s="1"/>
  <c r="V14" i="1" s="1"/>
  <c r="O145" i="1"/>
  <c r="Q145" i="1" s="1"/>
  <c r="X145" i="1" s="1"/>
  <c r="O140" i="1"/>
  <c r="Q140" i="1" s="1"/>
  <c r="X140" i="1" s="1"/>
  <c r="O8" i="1"/>
  <c r="Q8" i="1" s="1"/>
  <c r="V8" i="1" s="1"/>
  <c r="O23" i="1"/>
  <c r="Q23" i="1" s="1"/>
  <c r="V23" i="1" s="1"/>
  <c r="O70" i="1"/>
  <c r="Q70" i="1" s="1"/>
  <c r="V70" i="1" s="1"/>
  <c r="O22" i="1"/>
  <c r="Q22" i="1" s="1"/>
  <c r="V22" i="1" s="1"/>
  <c r="O28" i="1"/>
  <c r="Q28" i="1" s="1"/>
  <c r="V28" i="1" s="1"/>
  <c r="O37" i="1"/>
  <c r="Q37" i="1" s="1"/>
  <c r="V37" i="1" s="1"/>
  <c r="O117" i="1"/>
  <c r="Q117" i="1" s="1"/>
  <c r="V117" i="1" s="1"/>
  <c r="O105" i="1"/>
  <c r="Q105" i="1" s="1"/>
  <c r="V105" i="1" s="1"/>
  <c r="O149" i="1"/>
  <c r="Q149" i="1" s="1"/>
  <c r="V149" i="1" s="1"/>
  <c r="O30" i="1"/>
  <c r="Q30" i="1" s="1"/>
  <c r="V30" i="1" s="1"/>
  <c r="O72" i="1"/>
  <c r="Q72" i="1" s="1"/>
  <c r="X72" i="1" s="1"/>
  <c r="O63" i="1"/>
  <c r="Q63" i="1" s="1"/>
  <c r="X63" i="1" s="1"/>
  <c r="O127" i="1"/>
  <c r="Q127" i="1" s="1"/>
  <c r="V127" i="1" s="1"/>
  <c r="O89" i="1"/>
  <c r="Q89" i="1" s="1"/>
  <c r="V89" i="1" s="1"/>
  <c r="O19" i="1"/>
  <c r="Q19" i="1" s="1"/>
  <c r="V19" i="1" s="1"/>
  <c r="O18" i="1"/>
  <c r="Q18" i="1" s="1"/>
  <c r="V18" i="1" s="1"/>
  <c r="O111" i="1"/>
  <c r="Q111" i="1" s="1"/>
  <c r="V111" i="1" s="1"/>
  <c r="O96" i="1"/>
  <c r="Q96" i="1" s="1"/>
  <c r="V96" i="1" s="1"/>
  <c r="O94" i="1"/>
  <c r="Q94" i="1" s="1"/>
  <c r="V94" i="1" s="1"/>
  <c r="O100" i="1"/>
  <c r="Q100" i="1" s="1"/>
  <c r="V100" i="1" s="1"/>
  <c r="O38" i="1"/>
  <c r="Q38" i="1" s="1"/>
  <c r="V38" i="1" s="1"/>
  <c r="O74" i="1"/>
  <c r="Q74" i="1" s="1"/>
  <c r="V74" i="1" s="1"/>
  <c r="O84" i="1"/>
  <c r="Q84" i="1" s="1"/>
  <c r="V84" i="1" s="1"/>
  <c r="O25" i="1"/>
  <c r="Q25" i="1" s="1"/>
  <c r="V25" i="1" s="1"/>
  <c r="O35" i="1"/>
  <c r="Q35" i="1" s="1"/>
  <c r="V35" i="1" s="1"/>
  <c r="O130" i="1"/>
  <c r="Q130" i="1" s="1"/>
  <c r="V130" i="1" s="1"/>
  <c r="O5" i="1"/>
  <c r="Q5" i="1" s="1"/>
  <c r="V5" i="1" s="1"/>
  <c r="O87" i="1"/>
  <c r="Q87" i="1" s="1"/>
  <c r="V87" i="1" s="1"/>
  <c r="O112" i="1"/>
  <c r="Q112" i="1" s="1"/>
  <c r="V112" i="1" s="1"/>
  <c r="O64" i="1"/>
  <c r="Q64" i="1" s="1"/>
  <c r="V64" i="1" s="1"/>
  <c r="O42" i="1"/>
  <c r="Q42" i="1" s="1"/>
  <c r="V42" i="1" s="1"/>
  <c r="O32" i="1"/>
  <c r="Q32" i="1" s="1"/>
  <c r="V32" i="1" s="1"/>
  <c r="O134" i="1"/>
  <c r="Q134" i="1" s="1"/>
  <c r="V134" i="1" s="1"/>
  <c r="O10" i="1"/>
  <c r="Q10" i="1" s="1"/>
  <c r="V10" i="1" s="1"/>
  <c r="O88" i="1"/>
  <c r="Q88" i="1" s="1"/>
  <c r="V88" i="1" s="1"/>
  <c r="O41" i="1"/>
  <c r="Q41" i="1" s="1"/>
  <c r="V41" i="1" s="1"/>
  <c r="O78" i="1"/>
  <c r="Q78" i="1" s="1"/>
  <c r="V78" i="1" s="1"/>
  <c r="O47" i="1"/>
  <c r="Q47" i="1" s="1"/>
  <c r="V47" i="1" s="1"/>
  <c r="O24" i="1"/>
  <c r="Q24" i="1" s="1"/>
  <c r="V24" i="1" s="1"/>
  <c r="O83" i="1"/>
  <c r="Q83" i="1" s="1"/>
  <c r="V83" i="1" s="1"/>
  <c r="O27" i="1"/>
  <c r="Q27" i="1" s="1"/>
  <c r="V27" i="1" s="1"/>
  <c r="O135" i="1"/>
  <c r="Q135" i="1" s="1"/>
  <c r="V135" i="1" s="1"/>
  <c r="O132" i="1"/>
  <c r="Q132" i="1" s="1"/>
  <c r="V132" i="1" s="1"/>
  <c r="O98" i="1"/>
  <c r="Q98" i="1" s="1"/>
  <c r="V98" i="1" s="1"/>
  <c r="O76" i="1"/>
  <c r="Q76" i="1" s="1"/>
  <c r="V76" i="1" s="1"/>
  <c r="O114" i="1"/>
  <c r="Q114" i="1" s="1"/>
  <c r="V114" i="1" s="1"/>
  <c r="O106" i="1"/>
  <c r="Q106" i="1" s="1"/>
  <c r="X106" i="1" s="1"/>
  <c r="O103" i="1"/>
  <c r="Q103" i="1" s="1"/>
  <c r="X103" i="1" s="1"/>
  <c r="O31" i="1"/>
  <c r="Q31" i="1" s="1"/>
  <c r="V31" i="1" s="1"/>
  <c r="O68" i="1"/>
  <c r="Q68" i="1" s="1"/>
  <c r="V68" i="1" s="1"/>
  <c r="O43" i="1"/>
  <c r="Q43" i="1" s="1"/>
  <c r="V43" i="1" s="1"/>
  <c r="O15" i="1"/>
  <c r="Q15" i="1" s="1"/>
  <c r="V15" i="1" s="1"/>
  <c r="O65" i="1"/>
  <c r="Q65" i="1" s="1"/>
  <c r="V65" i="1" s="1"/>
  <c r="O137" i="1"/>
  <c r="Q137" i="1" s="1"/>
  <c r="V137" i="1" s="1"/>
  <c r="O6" i="1"/>
  <c r="Q6" i="1" s="1"/>
  <c r="V6" i="1" s="1"/>
  <c r="O57" i="1"/>
  <c r="Q57" i="1" s="1"/>
  <c r="V57" i="1" s="1"/>
  <c r="O52" i="1"/>
  <c r="Q52" i="1" s="1"/>
  <c r="V52" i="1" s="1"/>
  <c r="O133" i="1"/>
  <c r="Q133" i="1" s="1"/>
  <c r="V133" i="1" s="1"/>
  <c r="O55" i="1"/>
  <c r="Q55" i="1" s="1"/>
  <c r="V55" i="1" s="1"/>
  <c r="O62" i="1"/>
  <c r="Q62" i="1" s="1"/>
  <c r="V62" i="1" s="1"/>
  <c r="O56" i="1"/>
  <c r="Q56" i="1" s="1"/>
  <c r="V56" i="1" s="1"/>
  <c r="O53" i="1"/>
  <c r="Q53" i="1" s="1"/>
  <c r="V53" i="1" s="1"/>
  <c r="O50" i="1"/>
  <c r="Q50" i="1" s="1"/>
  <c r="V50" i="1" s="1"/>
  <c r="O46" i="1"/>
  <c r="Q46" i="1" s="1"/>
  <c r="V46" i="1" s="1"/>
  <c r="O45" i="1"/>
  <c r="Q45" i="1" s="1"/>
  <c r="V45" i="1" s="1"/>
  <c r="O7" i="1"/>
  <c r="Q7" i="1" s="1"/>
  <c r="V7" i="1" s="1"/>
  <c r="O73" i="1"/>
  <c r="Q73" i="1" s="1"/>
  <c r="V73" i="1" s="1"/>
  <c r="O99" i="1"/>
  <c r="Q99" i="1" s="1"/>
  <c r="V99" i="1" s="1"/>
  <c r="O86" i="1"/>
  <c r="Q86" i="1" s="1"/>
  <c r="V86" i="1" s="1"/>
  <c r="O36" i="1"/>
  <c r="Q36" i="1" s="1"/>
  <c r="V36" i="1" s="1"/>
  <c r="O146" i="1"/>
  <c r="Q146" i="1" s="1"/>
  <c r="X146" i="1" s="1"/>
  <c r="O123" i="1"/>
  <c r="Q123" i="1" s="1"/>
  <c r="V123" i="1" s="1"/>
  <c r="O4" i="1"/>
  <c r="Q4" i="1" s="1"/>
  <c r="V4" i="1" s="1"/>
  <c r="O93" i="1"/>
  <c r="Q93" i="1" s="1"/>
  <c r="V93" i="1" s="1"/>
  <c r="O2" i="1"/>
  <c r="Q2" i="1" s="1"/>
  <c r="V2" i="1" s="1"/>
  <c r="O129" i="1"/>
  <c r="Q129" i="1" s="1"/>
  <c r="V129" i="1" s="1"/>
  <c r="O91" i="1"/>
  <c r="Q91" i="1" s="1"/>
  <c r="V91" i="1" s="1"/>
  <c r="O21" i="1"/>
  <c r="Q21" i="1" s="1"/>
  <c r="V21" i="1" s="1"/>
  <c r="O33" i="1"/>
  <c r="Q33" i="1" s="1"/>
  <c r="V33" i="1" s="1"/>
  <c r="O126" i="1"/>
  <c r="Q126" i="1" s="1"/>
  <c r="V126" i="1" s="1"/>
  <c r="O80" i="1"/>
  <c r="Q80" i="1" s="1"/>
  <c r="V80" i="1" s="1"/>
  <c r="O136" i="1"/>
  <c r="Q136" i="1" s="1"/>
  <c r="V136" i="1" s="1"/>
  <c r="O125" i="1"/>
  <c r="Q125" i="1" s="1"/>
  <c r="X125" i="1" s="1"/>
  <c r="O58" i="1"/>
  <c r="Q58" i="1" s="1"/>
  <c r="V58" i="1" s="1"/>
  <c r="O141" i="1"/>
  <c r="Q141" i="1" s="1"/>
  <c r="V141" i="1" s="1"/>
  <c r="O148" i="1"/>
  <c r="Q148" i="1" s="1"/>
  <c r="V148" i="1" s="1"/>
  <c r="O150" i="1"/>
  <c r="Q150" i="1" s="1"/>
  <c r="V150" i="1" s="1"/>
  <c r="O120" i="1"/>
  <c r="Q120" i="1" s="1"/>
  <c r="V120" i="1" s="1"/>
  <c r="O95" i="1"/>
  <c r="Q95" i="1" s="1"/>
  <c r="V95" i="1" s="1"/>
  <c r="O81" i="1"/>
  <c r="Q81" i="1" s="1"/>
  <c r="V81" i="1" s="1"/>
  <c r="O118" i="1"/>
  <c r="Q118" i="1" s="1"/>
  <c r="V118" i="1" s="1"/>
  <c r="O144" i="1"/>
  <c r="Q144" i="1" s="1"/>
  <c r="V144" i="1" s="1"/>
  <c r="O82" i="1"/>
  <c r="Q82" i="1" s="1"/>
  <c r="V82" i="1" s="1"/>
  <c r="O75" i="1"/>
  <c r="Q75" i="1" s="1"/>
  <c r="V75" i="1" s="1"/>
  <c r="O51" i="1"/>
  <c r="Q51" i="1" s="1"/>
  <c r="V51" i="1" s="1"/>
  <c r="O13" i="1"/>
  <c r="Q13" i="1" s="1"/>
  <c r="V13" i="1" s="1"/>
  <c r="O26" i="1"/>
  <c r="Q26" i="1" s="1"/>
  <c r="V26" i="1" s="1"/>
  <c r="O143" i="1"/>
  <c r="Q143" i="1" s="1"/>
  <c r="V143" i="1" s="1"/>
  <c r="O69" i="1"/>
  <c r="Q69" i="1" s="1"/>
  <c r="V69" i="1" s="1"/>
  <c r="O71" i="1"/>
  <c r="Q71" i="1" s="1"/>
  <c r="V71" i="1" s="1"/>
  <c r="O34" i="1"/>
  <c r="Q34" i="1" s="1"/>
  <c r="V34" i="1" s="1"/>
  <c r="O16" i="1"/>
  <c r="Q16" i="1" s="1"/>
  <c r="V16" i="1" s="1"/>
  <c r="O104" i="1"/>
  <c r="Q104" i="1" s="1"/>
  <c r="V104" i="1" s="1"/>
  <c r="O67" i="1"/>
  <c r="Q67" i="1" s="1"/>
  <c r="V67" i="1" s="1"/>
  <c r="O116" i="1"/>
  <c r="Q116" i="1" s="1"/>
  <c r="V116" i="1" s="1"/>
  <c r="O124" i="1"/>
  <c r="Q124" i="1" s="1"/>
  <c r="V124" i="1" s="1"/>
  <c r="O101" i="1"/>
  <c r="Q101" i="1" s="1"/>
  <c r="X101" i="1" s="1"/>
  <c r="O121" i="1"/>
  <c r="Q121" i="1" s="1"/>
  <c r="X121" i="1" s="1"/>
  <c r="O79" i="1"/>
  <c r="Q79" i="1" s="1"/>
  <c r="V79" i="1" s="1"/>
  <c r="O107" i="1"/>
  <c r="Q107" i="1" s="1"/>
  <c r="V107" i="1" s="1"/>
  <c r="O54" i="1"/>
  <c r="Q54" i="1" s="1"/>
  <c r="V54" i="1" s="1"/>
  <c r="O61" i="1"/>
  <c r="Q61" i="1" s="1"/>
  <c r="V61" i="1" s="1"/>
  <c r="O66" i="1"/>
  <c r="Q66" i="1" s="1"/>
  <c r="V66" i="1" s="1"/>
  <c r="O113" i="1"/>
  <c r="Q113" i="1" s="1"/>
  <c r="V113" i="1" s="1"/>
  <c r="O9" i="1"/>
  <c r="Q9" i="1" s="1"/>
  <c r="V9" i="1" s="1"/>
  <c r="O3" i="1"/>
  <c r="Q3" i="1" s="1"/>
  <c r="V3" i="1" s="1"/>
  <c r="O39" i="1"/>
  <c r="Q39" i="1" s="1"/>
  <c r="V39" i="1" s="1"/>
  <c r="O40" i="1"/>
  <c r="Q40" i="1" s="1"/>
  <c r="V40" i="1" s="1"/>
  <c r="O44" i="1"/>
  <c r="Q44" i="1" s="1"/>
  <c r="X44" i="1" s="1"/>
  <c r="O128" i="1"/>
  <c r="Q128" i="1" s="1"/>
  <c r="X128" i="1" s="1"/>
  <c r="O115" i="1"/>
  <c r="Q115" i="1" s="1"/>
  <c r="V115" i="1" s="1"/>
  <c r="O17" i="1"/>
  <c r="Q17" i="1" s="1"/>
  <c r="V17" i="1" s="1"/>
  <c r="O20" i="1"/>
  <c r="Q20" i="1" s="1"/>
  <c r="V20" i="1" s="1"/>
  <c r="AF51" i="1" l="1"/>
  <c r="AF55" i="1"/>
  <c r="AF72" i="1"/>
  <c r="AF74" i="1"/>
  <c r="AF9" i="1"/>
  <c r="AF33" i="1"/>
  <c r="AF132" i="1"/>
  <c r="AF64" i="1"/>
  <c r="AF119" i="1"/>
  <c r="B11" i="6"/>
  <c r="B17" i="6" s="1"/>
  <c r="AF17" i="1"/>
  <c r="AF107" i="1"/>
  <c r="AF68" i="1"/>
  <c r="AF23" i="1"/>
  <c r="AF141" i="1"/>
  <c r="AF62" i="1"/>
  <c r="AD4" i="6"/>
  <c r="AF76" i="1"/>
  <c r="AF67" i="1"/>
  <c r="AF99" i="1"/>
  <c r="AF4" i="6"/>
  <c r="AF90" i="1"/>
  <c r="AF6" i="1"/>
  <c r="AF65" i="1"/>
  <c r="AF16" i="1"/>
  <c r="AF61" i="1"/>
  <c r="AF46" i="1"/>
  <c r="AF139" i="1"/>
  <c r="AF131" i="1"/>
  <c r="AF2" i="1"/>
  <c r="AF50" i="1"/>
  <c r="AF24" i="1"/>
  <c r="AF146" i="1"/>
  <c r="AF75" i="1"/>
  <c r="AF2" i="6"/>
  <c r="AF118" i="1"/>
  <c r="AF42" i="1"/>
  <c r="AF135" i="1"/>
  <c r="AF37" i="1"/>
  <c r="AF151" i="1"/>
  <c r="U3" i="6"/>
  <c r="AF57" i="1"/>
  <c r="AF94" i="1"/>
  <c r="AF95" i="1"/>
  <c r="AF3" i="6"/>
  <c r="W3" i="6"/>
  <c r="AF87" i="1"/>
  <c r="AF20" i="1"/>
  <c r="AF54" i="1"/>
  <c r="AF150" i="1"/>
  <c r="AF70" i="1"/>
  <c r="AF49" i="1"/>
  <c r="AF102" i="1"/>
  <c r="AF120" i="1"/>
  <c r="AF15" i="1"/>
  <c r="AF18" i="1"/>
  <c r="AF148" i="1"/>
  <c r="AF93" i="1"/>
  <c r="AD2" i="6"/>
  <c r="AF104" i="1"/>
  <c r="AF73" i="1"/>
  <c r="AF83" i="1"/>
  <c r="AF35" i="1"/>
  <c r="AF127" i="1"/>
  <c r="AD3" i="6"/>
  <c r="Y4" i="6"/>
  <c r="AF43" i="1"/>
  <c r="AF5" i="1"/>
  <c r="T3" i="6"/>
  <c r="AF8" i="1"/>
  <c r="V3" i="6"/>
  <c r="Q4" i="6"/>
  <c r="AF44" i="1"/>
  <c r="AF101" i="1"/>
  <c r="AF125" i="1"/>
  <c r="AF106" i="1"/>
  <c r="AF88" i="1"/>
  <c r="AF84" i="1"/>
  <c r="AF145" i="1"/>
  <c r="AF59" i="1"/>
  <c r="AF109" i="1"/>
  <c r="R2" i="6"/>
  <c r="X3" i="6"/>
  <c r="R4" i="6"/>
  <c r="Q2" i="6"/>
  <c r="Y3" i="6"/>
  <c r="AF116" i="1"/>
  <c r="AF52" i="1"/>
  <c r="AF149" i="1"/>
  <c r="AF48" i="1"/>
  <c r="T2" i="6"/>
  <c r="T4" i="6"/>
  <c r="AF3" i="1"/>
  <c r="U2" i="6"/>
  <c r="U4" i="6"/>
  <c r="V2" i="6"/>
  <c r="V4" i="6"/>
  <c r="AF21" i="1"/>
  <c r="AF7" i="1"/>
  <c r="AF137" i="1"/>
  <c r="AF96" i="1"/>
  <c r="W2" i="6"/>
  <c r="Q3" i="6"/>
  <c r="W4" i="6"/>
  <c r="AF66" i="1"/>
  <c r="AF34" i="1"/>
  <c r="AF45" i="1"/>
  <c r="AF27" i="1"/>
  <c r="AF112" i="1"/>
  <c r="AF28" i="1"/>
  <c r="AF29" i="1"/>
  <c r="AF85" i="1"/>
  <c r="R3" i="6"/>
  <c r="X4" i="6"/>
  <c r="B25" i="6"/>
  <c r="AF115" i="1"/>
  <c r="AF79" i="1"/>
  <c r="AF26" i="1"/>
  <c r="AF56" i="1"/>
  <c r="AF31" i="1"/>
  <c r="AF77" i="1"/>
  <c r="AF108" i="1"/>
  <c r="AF126" i="1"/>
  <c r="AF36" i="1"/>
  <c r="AF133" i="1"/>
  <c r="AF114" i="1"/>
  <c r="AF10" i="1"/>
  <c r="AF14" i="1"/>
  <c r="AF147" i="1"/>
  <c r="AF142" i="1"/>
  <c r="AF122" i="1"/>
  <c r="AF53" i="1"/>
  <c r="AF47" i="1"/>
  <c r="AF89" i="1"/>
  <c r="AF97" i="1"/>
  <c r="AF40" i="1"/>
  <c r="AF30" i="1"/>
  <c r="AF82" i="1"/>
  <c r="AF80" i="1"/>
  <c r="AF86" i="1"/>
  <c r="AF144" i="1"/>
  <c r="AF98" i="1"/>
  <c r="AF32" i="1"/>
  <c r="AF100" i="1"/>
  <c r="AF105" i="1"/>
  <c r="AF60" i="1"/>
  <c r="AF117" i="1"/>
  <c r="AF12" i="1"/>
  <c r="AF11" i="1"/>
  <c r="AF143" i="1"/>
  <c r="AF92" i="1"/>
  <c r="AF4" i="1"/>
  <c r="AF128" i="1"/>
  <c r="AF121" i="1"/>
  <c r="AF58" i="1"/>
  <c r="AF123" i="1"/>
  <c r="AF41" i="1"/>
  <c r="AF25" i="1"/>
  <c r="AF63" i="1"/>
  <c r="AF140" i="1"/>
  <c r="AF138" i="1"/>
  <c r="AF110" i="1"/>
  <c r="T25" i="1"/>
  <c r="U25" i="1"/>
  <c r="AD36" i="1"/>
  <c r="AD12" i="1"/>
  <c r="AE12" i="1" s="1"/>
  <c r="AD74" i="1"/>
  <c r="AE74" i="1" s="1"/>
  <c r="AD99" i="1"/>
  <c r="AE99" i="1" s="1"/>
  <c r="AD90" i="1"/>
  <c r="AE90" i="1" s="1"/>
  <c r="AD98" i="1"/>
  <c r="AE98" i="1" s="1"/>
  <c r="AD76" i="1"/>
  <c r="AE76" i="1" s="1"/>
  <c r="AD81" i="1"/>
  <c r="AE81" i="1" s="1"/>
  <c r="AD106" i="1"/>
  <c r="AE106" i="1" s="1"/>
  <c r="AD73" i="1"/>
  <c r="AE73" i="1" s="1"/>
  <c r="AD118" i="1"/>
  <c r="AE118" i="1" s="1"/>
  <c r="AD7" i="1"/>
  <c r="AE7" i="1" s="1"/>
  <c r="AD67" i="1"/>
  <c r="AE67" i="1" s="1"/>
  <c r="AD133" i="1"/>
  <c r="AE133" i="1" s="1"/>
  <c r="AD145" i="1"/>
  <c r="AE145" i="1" s="1"/>
  <c r="AD42" i="1"/>
  <c r="AE42" i="1" s="1"/>
  <c r="AD29" i="1"/>
  <c r="AE29" i="1" s="1"/>
  <c r="AD65" i="1"/>
  <c r="AE65" i="1" s="1"/>
  <c r="AD43" i="1"/>
  <c r="AE43" i="1" s="1"/>
  <c r="AD15" i="1"/>
  <c r="AE15" i="1" s="1"/>
  <c r="AD47" i="1"/>
  <c r="AE47" i="1" s="1"/>
  <c r="AD28" i="1"/>
  <c r="AE28" i="1" s="1"/>
  <c r="AD60" i="1"/>
  <c r="AE60" i="1" s="1"/>
  <c r="AD18" i="1"/>
  <c r="AE18" i="1" s="1"/>
  <c r="AD87" i="1"/>
  <c r="AE87" i="1" s="1"/>
  <c r="AD2" i="1"/>
  <c r="AE2" i="1" s="1"/>
  <c r="AD139" i="1"/>
  <c r="AE139" i="1" s="1"/>
  <c r="AD24" i="1"/>
  <c r="AE24" i="1" s="1"/>
  <c r="AD16" i="1"/>
  <c r="AE16" i="1" s="1"/>
  <c r="AD46" i="1"/>
  <c r="AE46" i="1" s="1"/>
  <c r="AD138" i="1"/>
  <c r="AE138" i="1" s="1"/>
  <c r="AD34" i="1"/>
  <c r="AE34" i="1" s="1"/>
  <c r="AD45" i="1"/>
  <c r="AD14" i="1"/>
  <c r="AD114" i="1"/>
  <c r="AE114" i="1" s="1"/>
  <c r="AD77" i="1"/>
  <c r="AE77" i="1" s="1"/>
  <c r="AD83" i="1"/>
  <c r="AE83" i="1" s="1"/>
  <c r="AD62" i="1"/>
  <c r="AE62" i="1" s="1"/>
  <c r="AD5" i="1"/>
  <c r="AE5" i="1" s="1"/>
  <c r="AD44" i="1"/>
  <c r="AE44" i="1" s="1"/>
  <c r="AD58" i="1"/>
  <c r="AE58" i="1" s="1"/>
  <c r="AD116" i="1"/>
  <c r="AE116" i="1" s="1"/>
  <c r="AD66" i="1"/>
  <c r="AE66" i="1" s="1"/>
  <c r="AD112" i="1"/>
  <c r="AE112" i="1" s="1"/>
  <c r="AD84" i="1"/>
  <c r="AE84" i="1" s="1"/>
  <c r="AD137" i="1"/>
  <c r="AE137" i="1" s="1"/>
  <c r="AD130" i="1"/>
  <c r="AE130" i="1" s="1"/>
  <c r="AD125" i="1"/>
  <c r="AE125" i="1" s="1"/>
  <c r="AD48" i="1"/>
  <c r="AE48" i="1" s="1"/>
  <c r="AD61" i="1"/>
  <c r="AE61" i="1" s="1"/>
  <c r="AD41" i="1"/>
  <c r="AE41" i="1" s="1"/>
  <c r="AD31" i="1"/>
  <c r="AE31" i="1" s="1"/>
  <c r="AD79" i="1"/>
  <c r="AE79" i="1" s="1"/>
  <c r="AD53" i="1"/>
  <c r="AE53" i="1" s="1"/>
  <c r="AD92" i="1"/>
  <c r="AE92" i="1" s="1"/>
  <c r="AD72" i="1"/>
  <c r="AE72" i="1" s="1"/>
  <c r="AD9" i="1"/>
  <c r="AE9" i="1" s="1"/>
  <c r="AD39" i="1"/>
  <c r="AE39" i="1" s="1"/>
  <c r="AD33" i="1"/>
  <c r="AE33" i="1" s="1"/>
  <c r="AD6" i="1"/>
  <c r="AE6" i="1" s="1"/>
  <c r="AD110" i="1"/>
  <c r="AE110" i="1" s="1"/>
  <c r="AD86" i="1"/>
  <c r="AE86" i="1" s="1"/>
  <c r="AD4" i="1"/>
  <c r="AE4" i="1" s="1"/>
  <c r="AD40" i="1"/>
  <c r="AE40" i="1" s="1"/>
  <c r="AD30" i="1"/>
  <c r="AE30" i="1" s="1"/>
  <c r="AD126" i="1"/>
  <c r="AE126" i="1" s="1"/>
  <c r="AD82" i="1"/>
  <c r="AE82" i="1" s="1"/>
  <c r="AD11" i="1"/>
  <c r="AE11" i="1" s="1"/>
  <c r="AD123" i="1"/>
  <c r="AE123" i="1" s="1"/>
  <c r="AD117" i="1"/>
  <c r="AE117" i="1" s="1"/>
  <c r="AD143" i="1"/>
  <c r="AE143" i="1" s="1"/>
  <c r="AD80" i="1"/>
  <c r="AE80" i="1" s="1"/>
  <c r="AD59" i="1"/>
  <c r="AE59" i="1" s="1"/>
  <c r="AD147" i="1"/>
  <c r="AE147" i="1" s="1"/>
  <c r="AD149" i="1"/>
  <c r="AE149" i="1" s="1"/>
  <c r="AD101" i="1"/>
  <c r="AE101" i="1" s="1"/>
  <c r="AD102" i="1"/>
  <c r="AE102" i="1" s="1"/>
  <c r="AD135" i="1"/>
  <c r="AE135" i="1" s="1"/>
  <c r="AD128" i="1"/>
  <c r="AE128" i="1" s="1"/>
  <c r="AD32" i="1"/>
  <c r="AE32" i="1" s="1"/>
  <c r="AD121" i="1"/>
  <c r="AE121" i="1" s="1"/>
  <c r="AD131" i="1"/>
  <c r="AE131" i="1" s="1"/>
  <c r="AD20" i="1"/>
  <c r="AE20" i="1" s="1"/>
  <c r="AD95" i="1"/>
  <c r="AE95" i="1" s="1"/>
  <c r="AD136" i="1"/>
  <c r="AE136" i="1" s="1"/>
  <c r="AD127" i="1"/>
  <c r="AE127" i="1" s="1"/>
  <c r="AD124" i="1"/>
  <c r="AE124" i="1" s="1"/>
  <c r="AD35" i="1"/>
  <c r="AE35" i="1" s="1"/>
  <c r="AD17" i="1"/>
  <c r="AE17" i="1" s="1"/>
  <c r="AD93" i="1"/>
  <c r="AE93" i="1" s="1"/>
  <c r="AD69" i="1"/>
  <c r="AE69" i="1" s="1"/>
  <c r="AD111" i="1"/>
  <c r="AE111" i="1" s="1"/>
  <c r="AD23" i="1"/>
  <c r="AE23" i="1" s="1"/>
  <c r="AD63" i="1"/>
  <c r="AE63" i="1" s="1"/>
  <c r="AD91" i="1"/>
  <c r="AE91" i="1" s="1"/>
  <c r="AD71" i="1"/>
  <c r="AE71" i="1" s="1"/>
  <c r="AD19" i="1"/>
  <c r="AE19" i="1" s="1"/>
  <c r="AD37" i="1"/>
  <c r="AE37" i="1" s="1"/>
  <c r="AD10" i="1"/>
  <c r="AE10" i="1" s="1"/>
  <c r="AD109" i="1"/>
  <c r="AE109" i="1" s="1"/>
  <c r="AD140" i="1"/>
  <c r="AE140" i="1" s="1"/>
  <c r="AD104" i="1"/>
  <c r="AE104" i="1" s="1"/>
  <c r="AD49" i="1"/>
  <c r="AE49" i="1" s="1"/>
  <c r="AD151" i="1"/>
  <c r="AE151" i="1" s="1"/>
  <c r="AD70" i="1"/>
  <c r="AE70" i="1" s="1"/>
  <c r="AD94" i="1"/>
  <c r="AE94" i="1" s="1"/>
  <c r="AD57" i="1"/>
  <c r="AE57" i="1" s="1"/>
  <c r="AD148" i="1"/>
  <c r="AE148" i="1" s="1"/>
  <c r="AD134" i="1"/>
  <c r="AE134" i="1" s="1"/>
  <c r="AD38" i="1"/>
  <c r="AE38" i="1" s="1"/>
  <c r="AD54" i="1"/>
  <c r="AE54" i="1" s="1"/>
  <c r="AD146" i="1"/>
  <c r="AE146" i="1" s="1"/>
  <c r="AD120" i="1"/>
  <c r="AE120" i="1" s="1"/>
  <c r="AD150" i="1"/>
  <c r="AE150" i="1" s="1"/>
  <c r="AD75" i="1"/>
  <c r="AE75" i="1" s="1"/>
  <c r="AD78" i="1"/>
  <c r="AE78" i="1" s="1"/>
  <c r="AD21" i="1"/>
  <c r="AE21" i="1" s="1"/>
  <c r="AD52" i="1"/>
  <c r="AE52" i="1" s="1"/>
  <c r="AD26" i="1"/>
  <c r="AE26" i="1" s="1"/>
  <c r="AD3" i="1"/>
  <c r="AE3" i="1" s="1"/>
  <c r="AD96" i="1"/>
  <c r="AE96" i="1" s="1"/>
  <c r="AD89" i="1"/>
  <c r="AE89" i="1" s="1"/>
  <c r="AD144" i="1"/>
  <c r="AE144" i="1" s="1"/>
  <c r="AD97" i="1"/>
  <c r="AE97" i="1" s="1"/>
  <c r="AD122" i="1"/>
  <c r="AE122" i="1" s="1"/>
  <c r="AD50" i="1"/>
  <c r="AE50" i="1" s="1"/>
  <c r="AD115" i="1"/>
  <c r="AE115" i="1" s="1"/>
  <c r="AD107" i="1"/>
  <c r="AE107" i="1" s="1"/>
  <c r="AD25" i="1"/>
  <c r="AE25" i="1" s="1"/>
  <c r="AD108" i="1"/>
  <c r="AE108" i="1" s="1"/>
  <c r="AD103" i="1"/>
  <c r="AE103" i="1" s="1"/>
  <c r="AD51" i="1"/>
  <c r="AE51" i="1" s="1"/>
  <c r="AD64" i="1"/>
  <c r="AE64" i="1" s="1"/>
  <c r="AD55" i="1"/>
  <c r="AE55" i="1" s="1"/>
  <c r="AD119" i="1"/>
  <c r="AE119" i="1" s="1"/>
  <c r="AD105" i="1"/>
  <c r="AE105" i="1" s="1"/>
  <c r="AD68" i="1"/>
  <c r="AE68" i="1" s="1"/>
  <c r="AD13" i="1"/>
  <c r="AE13" i="1" s="1"/>
  <c r="AD85" i="1"/>
  <c r="AE85" i="1" s="1"/>
  <c r="AD100" i="1"/>
  <c r="AE100" i="1" s="1"/>
  <c r="AD27" i="1"/>
  <c r="AE27" i="1" s="1"/>
  <c r="AD56" i="1"/>
  <c r="AE56" i="1" s="1"/>
  <c r="AD132" i="1"/>
  <c r="AE132" i="1" s="1"/>
  <c r="AD22" i="1"/>
  <c r="AE22" i="1" s="1"/>
  <c r="AD88" i="1"/>
  <c r="AE88" i="1" s="1"/>
  <c r="AD113" i="1"/>
  <c r="AE113" i="1" s="1"/>
  <c r="AD142" i="1"/>
  <c r="AE142" i="1" s="1"/>
  <c r="AD141" i="1"/>
  <c r="AE141" i="1" s="1"/>
  <c r="AD8" i="1"/>
  <c r="AE8" i="1" s="1"/>
  <c r="AD129" i="1"/>
  <c r="AE129" i="1" s="1"/>
  <c r="T69" i="1"/>
  <c r="T131" i="1"/>
  <c r="Y61" i="1"/>
  <c r="Y70" i="1"/>
  <c r="Y12" i="1"/>
  <c r="Y11" i="1"/>
  <c r="Y131" i="1"/>
  <c r="Y109" i="1"/>
  <c r="Y150" i="1"/>
  <c r="Y99" i="1"/>
  <c r="Y73" i="1"/>
  <c r="Y45" i="1"/>
  <c r="Y46" i="1"/>
  <c r="Y50" i="1"/>
  <c r="Y112" i="1"/>
  <c r="T78" i="1"/>
  <c r="Y43" i="1"/>
  <c r="Y132" i="1"/>
  <c r="Y54" i="1"/>
  <c r="Y94" i="1"/>
  <c r="Y67" i="1"/>
  <c r="Y117" i="1"/>
  <c r="Y104" i="1"/>
  <c r="Y22" i="1"/>
  <c r="U149" i="1"/>
  <c r="Y38" i="1"/>
  <c r="U113" i="1"/>
  <c r="Y80" i="1"/>
  <c r="Y100" i="1"/>
  <c r="U119" i="1"/>
  <c r="Y126" i="1"/>
  <c r="Y34" i="1"/>
  <c r="Y52" i="1"/>
  <c r="Y96" i="1"/>
  <c r="U86" i="1"/>
  <c r="Y71" i="1"/>
  <c r="Y24" i="1"/>
  <c r="Y6" i="1"/>
  <c r="U80" i="1"/>
  <c r="Y16" i="1"/>
  <c r="Y27" i="1"/>
  <c r="Y122" i="1"/>
  <c r="U21" i="1"/>
  <c r="Y33" i="1"/>
  <c r="Y21" i="1"/>
  <c r="Y111" i="1"/>
  <c r="Y69" i="1"/>
  <c r="Y134" i="1"/>
  <c r="U52" i="1"/>
  <c r="Y9" i="1"/>
  <c r="Y82" i="1"/>
  <c r="Y129" i="1"/>
  <c r="Y137" i="1"/>
  <c r="Y32" i="1"/>
  <c r="Y19" i="1"/>
  <c r="Y139" i="1"/>
  <c r="Y3" i="1"/>
  <c r="H7" i="3" s="1"/>
  <c r="Y29" i="1"/>
  <c r="U137" i="1"/>
  <c r="Y113" i="1"/>
  <c r="Y144" i="1"/>
  <c r="Y2" i="1"/>
  <c r="G7" i="3" s="1"/>
  <c r="Y65" i="1"/>
  <c r="Y42" i="1"/>
  <c r="Y149" i="1"/>
  <c r="Y49" i="1"/>
  <c r="U151" i="1"/>
  <c r="U48" i="1"/>
  <c r="Y135" i="1"/>
  <c r="Y20" i="1"/>
  <c r="Y83" i="1"/>
  <c r="Y39" i="1"/>
  <c r="Y57" i="1"/>
  <c r="Y151" i="1"/>
  <c r="U7" i="1"/>
  <c r="Y91" i="1"/>
  <c r="Y18" i="1"/>
  <c r="U135" i="1"/>
  <c r="Y66" i="1"/>
  <c r="Y118" i="1"/>
  <c r="Y86" i="1"/>
  <c r="Y15" i="1"/>
  <c r="Y64" i="1"/>
  <c r="Y105" i="1"/>
  <c r="Y60" i="1"/>
  <c r="Y81" i="1"/>
  <c r="U37" i="1"/>
  <c r="Y95" i="1"/>
  <c r="Y76" i="1"/>
  <c r="Y87" i="1"/>
  <c r="Y37" i="1"/>
  <c r="Y119" i="1"/>
  <c r="T22" i="1"/>
  <c r="U90" i="1"/>
  <c r="Y116" i="1"/>
  <c r="Y120" i="1"/>
  <c r="Y7" i="1"/>
  <c r="Y98" i="1"/>
  <c r="Y5" i="1"/>
  <c r="Y28" i="1"/>
  <c r="Y85" i="1"/>
  <c r="T17" i="1"/>
  <c r="Y17" i="1"/>
  <c r="Y143" i="1"/>
  <c r="Y68" i="1"/>
  <c r="Y89" i="1"/>
  <c r="Y77" i="1"/>
  <c r="T4" i="1"/>
  <c r="U116" i="1"/>
  <c r="U134" i="1"/>
  <c r="Y115" i="1"/>
  <c r="Y79" i="1"/>
  <c r="Y26" i="1"/>
  <c r="Y141" i="1"/>
  <c r="Y4" i="1"/>
  <c r="Y56" i="1"/>
  <c r="Y31" i="1"/>
  <c r="Y78" i="1"/>
  <c r="Y35" i="1"/>
  <c r="Y127" i="1"/>
  <c r="Y8" i="1"/>
  <c r="Y138" i="1"/>
  <c r="Y108" i="1"/>
  <c r="T127" i="1"/>
  <c r="T102" i="1"/>
  <c r="U39" i="1"/>
  <c r="Y102" i="1"/>
  <c r="Y148" i="1"/>
  <c r="Y47" i="1"/>
  <c r="Y23" i="1"/>
  <c r="T50" i="1"/>
  <c r="U16" i="1"/>
  <c r="U64" i="1"/>
  <c r="Y128" i="1"/>
  <c r="Y121" i="1"/>
  <c r="Y13" i="1"/>
  <c r="Y58" i="1"/>
  <c r="Y123" i="1"/>
  <c r="Y62" i="1"/>
  <c r="Y103" i="1"/>
  <c r="Y41" i="1"/>
  <c r="Y25" i="1"/>
  <c r="Y63" i="1"/>
  <c r="Y140" i="1"/>
  <c r="Y59" i="1"/>
  <c r="Y110" i="1"/>
  <c r="Y97" i="1"/>
  <c r="Y107" i="1"/>
  <c r="Y53" i="1"/>
  <c r="Y130" i="1"/>
  <c r="Y92" i="1"/>
  <c r="T83" i="1"/>
  <c r="U82" i="1"/>
  <c r="U38" i="1"/>
  <c r="Y44" i="1"/>
  <c r="Y101" i="1"/>
  <c r="Y51" i="1"/>
  <c r="Y125" i="1"/>
  <c r="Y146" i="1"/>
  <c r="Y55" i="1"/>
  <c r="Y106" i="1"/>
  <c r="Y88" i="1"/>
  <c r="Y84" i="1"/>
  <c r="Y72" i="1"/>
  <c r="Y145" i="1"/>
  <c r="Y147" i="1"/>
  <c r="Y142" i="1"/>
  <c r="T89" i="1"/>
  <c r="U76" i="1"/>
  <c r="T143" i="1"/>
  <c r="Y93" i="1"/>
  <c r="T24" i="1"/>
  <c r="U81" i="1"/>
  <c r="U96" i="1"/>
  <c r="Y40" i="1"/>
  <c r="Y124" i="1"/>
  <c r="Y75" i="1"/>
  <c r="Y136" i="1"/>
  <c r="Y36" i="1"/>
  <c r="Y133" i="1"/>
  <c r="Y114" i="1"/>
  <c r="Y10" i="1"/>
  <c r="Y74" i="1"/>
  <c r="Y30" i="1"/>
  <c r="Y90" i="1"/>
  <c r="Y48" i="1"/>
  <c r="Y14" i="1"/>
  <c r="U3" i="1"/>
  <c r="U67" i="1"/>
  <c r="U144" i="1"/>
  <c r="U126" i="1"/>
  <c r="U99" i="1"/>
  <c r="U57" i="1"/>
  <c r="U98" i="1"/>
  <c r="U32" i="1"/>
  <c r="U100" i="1"/>
  <c r="U105" i="1"/>
  <c r="U122" i="1"/>
  <c r="U60" i="1"/>
  <c r="T20" i="1"/>
  <c r="T26" i="1"/>
  <c r="T46" i="1"/>
  <c r="T47" i="1"/>
  <c r="T72" i="1"/>
  <c r="T109" i="1"/>
  <c r="U9" i="1"/>
  <c r="U104" i="1"/>
  <c r="U118" i="1"/>
  <c r="U33" i="1"/>
  <c r="U73" i="1"/>
  <c r="U6" i="1"/>
  <c r="U132" i="1"/>
  <c r="U42" i="1"/>
  <c r="U94" i="1"/>
  <c r="U117" i="1"/>
  <c r="U12" i="1"/>
  <c r="U11" i="1"/>
  <c r="T115" i="1"/>
  <c r="T120" i="1"/>
  <c r="T53" i="1"/>
  <c r="T88" i="1"/>
  <c r="T70" i="1"/>
  <c r="T92" i="1"/>
  <c r="U66" i="1"/>
  <c r="U34" i="1"/>
  <c r="U95" i="1"/>
  <c r="U91" i="1"/>
  <c r="U45" i="1"/>
  <c r="U65" i="1"/>
  <c r="U27" i="1"/>
  <c r="U112" i="1"/>
  <c r="U111" i="1"/>
  <c r="U28" i="1"/>
  <c r="U29" i="1"/>
  <c r="U85" i="1"/>
  <c r="T59" i="1"/>
  <c r="T44" i="1"/>
  <c r="T150" i="1"/>
  <c r="T56" i="1"/>
  <c r="T87" i="1"/>
  <c r="T23" i="1"/>
  <c r="T110" i="1"/>
  <c r="U61" i="1"/>
  <c r="U71" i="1"/>
  <c r="U120" i="1"/>
  <c r="U129" i="1"/>
  <c r="U46" i="1"/>
  <c r="U15" i="1"/>
  <c r="U83" i="1"/>
  <c r="U87" i="1"/>
  <c r="U18" i="1"/>
  <c r="U22" i="1"/>
  <c r="U139" i="1"/>
  <c r="U131" i="1"/>
  <c r="T61" i="1"/>
  <c r="T148" i="1"/>
  <c r="T55" i="1"/>
  <c r="T5" i="1"/>
  <c r="T8" i="1"/>
  <c r="U20" i="1"/>
  <c r="U54" i="1"/>
  <c r="U69" i="1"/>
  <c r="U150" i="1"/>
  <c r="U2" i="1"/>
  <c r="U50" i="1"/>
  <c r="U43" i="1"/>
  <c r="U24" i="1"/>
  <c r="U5" i="1"/>
  <c r="U19" i="1"/>
  <c r="U70" i="1"/>
  <c r="U49" i="1"/>
  <c r="U109" i="1"/>
  <c r="T54" i="1"/>
  <c r="T141" i="1"/>
  <c r="T15" i="1"/>
  <c r="T130" i="1"/>
  <c r="T145" i="1"/>
  <c r="U17" i="1"/>
  <c r="U107" i="1"/>
  <c r="U143" i="1"/>
  <c r="U148" i="1"/>
  <c r="U93" i="1"/>
  <c r="U53" i="1"/>
  <c r="U68" i="1"/>
  <c r="U47" i="1"/>
  <c r="U130" i="1"/>
  <c r="U89" i="1"/>
  <c r="U23" i="1"/>
  <c r="U97" i="1"/>
  <c r="U102" i="1"/>
  <c r="T146" i="1"/>
  <c r="T107" i="1"/>
  <c r="T125" i="1"/>
  <c r="T43" i="1"/>
  <c r="T35" i="1"/>
  <c r="T139" i="1"/>
  <c r="U115" i="1"/>
  <c r="U79" i="1"/>
  <c r="U26" i="1"/>
  <c r="U141" i="1"/>
  <c r="U4" i="1"/>
  <c r="U56" i="1"/>
  <c r="U31" i="1"/>
  <c r="U78" i="1"/>
  <c r="U35" i="1"/>
  <c r="U127" i="1"/>
  <c r="U8" i="1"/>
  <c r="U77" i="1"/>
  <c r="U92" i="1"/>
  <c r="T51" i="1"/>
  <c r="T79" i="1"/>
  <c r="T129" i="1"/>
  <c r="T68" i="1"/>
  <c r="T84" i="1"/>
  <c r="T49" i="1"/>
  <c r="U128" i="1"/>
  <c r="U121" i="1"/>
  <c r="U13" i="1"/>
  <c r="U58" i="1"/>
  <c r="U123" i="1"/>
  <c r="U62" i="1"/>
  <c r="U103" i="1"/>
  <c r="U41" i="1"/>
  <c r="U63" i="1"/>
  <c r="U140" i="1"/>
  <c r="U138" i="1"/>
  <c r="U108" i="1"/>
  <c r="T101" i="1"/>
  <c r="T2" i="1"/>
  <c r="T31" i="1"/>
  <c r="T18" i="1"/>
  <c r="T97" i="1"/>
  <c r="U44" i="1"/>
  <c r="U101" i="1"/>
  <c r="U51" i="1"/>
  <c r="U125" i="1"/>
  <c r="U146" i="1"/>
  <c r="U55" i="1"/>
  <c r="U106" i="1"/>
  <c r="U88" i="1"/>
  <c r="U84" i="1"/>
  <c r="U72" i="1"/>
  <c r="U145" i="1"/>
  <c r="U59" i="1"/>
  <c r="U110" i="1"/>
  <c r="T71" i="1"/>
  <c r="T93" i="1"/>
  <c r="T106" i="1"/>
  <c r="T19" i="1"/>
  <c r="T77" i="1"/>
  <c r="U40" i="1"/>
  <c r="U124" i="1"/>
  <c r="U75" i="1"/>
  <c r="U136" i="1"/>
  <c r="U36" i="1"/>
  <c r="U133" i="1"/>
  <c r="U114" i="1"/>
  <c r="U10" i="1"/>
  <c r="U74" i="1"/>
  <c r="U30" i="1"/>
  <c r="U14" i="1"/>
  <c r="U147" i="1"/>
  <c r="U142" i="1"/>
  <c r="T75" i="1"/>
  <c r="T133" i="1"/>
  <c r="T74" i="1"/>
  <c r="T30" i="1"/>
  <c r="T142" i="1"/>
  <c r="T39" i="1"/>
  <c r="T86" i="1"/>
  <c r="T149" i="1"/>
  <c r="T126" i="1"/>
  <c r="T57" i="1"/>
  <c r="T98" i="1"/>
  <c r="T32" i="1"/>
  <c r="T60" i="1"/>
  <c r="T82" i="1"/>
  <c r="T52" i="1"/>
  <c r="T134" i="1"/>
  <c r="T48" i="1"/>
  <c r="T3" i="1"/>
  <c r="T99" i="1"/>
  <c r="T122" i="1"/>
  <c r="T9" i="1"/>
  <c r="T104" i="1"/>
  <c r="T118" i="1"/>
  <c r="T33" i="1"/>
  <c r="T73" i="1"/>
  <c r="T6" i="1"/>
  <c r="T132" i="1"/>
  <c r="T42" i="1"/>
  <c r="T94" i="1"/>
  <c r="T117" i="1"/>
  <c r="T12" i="1"/>
  <c r="T11" i="1"/>
  <c r="T124" i="1"/>
  <c r="T136" i="1"/>
  <c r="T114" i="1"/>
  <c r="T14" i="1"/>
  <c r="T80" i="1"/>
  <c r="T76" i="1"/>
  <c r="T90" i="1"/>
  <c r="T67" i="1"/>
  <c r="T105" i="1"/>
  <c r="T113" i="1"/>
  <c r="T16" i="1"/>
  <c r="T81" i="1"/>
  <c r="T21" i="1"/>
  <c r="T7" i="1"/>
  <c r="T137" i="1"/>
  <c r="T135" i="1"/>
  <c r="T64" i="1"/>
  <c r="T96" i="1"/>
  <c r="T37" i="1"/>
  <c r="T151" i="1"/>
  <c r="T119" i="1"/>
  <c r="T40" i="1"/>
  <c r="T36" i="1"/>
  <c r="T10" i="1"/>
  <c r="T147" i="1"/>
  <c r="T116" i="1"/>
  <c r="T38" i="1"/>
  <c r="T144" i="1"/>
  <c r="T100" i="1"/>
  <c r="T66" i="1"/>
  <c r="T34" i="1"/>
  <c r="T95" i="1"/>
  <c r="T91" i="1"/>
  <c r="T45" i="1"/>
  <c r="T65" i="1"/>
  <c r="T27" i="1"/>
  <c r="T112" i="1"/>
  <c r="T111" i="1"/>
  <c r="T28" i="1"/>
  <c r="T29" i="1"/>
  <c r="T85" i="1"/>
  <c r="T128" i="1"/>
  <c r="T121" i="1"/>
  <c r="T13" i="1"/>
  <c r="T58" i="1"/>
  <c r="T123" i="1"/>
  <c r="T62" i="1"/>
  <c r="T103" i="1"/>
  <c r="T41" i="1"/>
  <c r="T63" i="1"/>
  <c r="T140" i="1"/>
  <c r="T138" i="1"/>
  <c r="T108" i="1"/>
  <c r="V128" i="1"/>
  <c r="V44" i="1"/>
  <c r="V145" i="1"/>
  <c r="X116" i="1"/>
  <c r="X82" i="1"/>
  <c r="X80" i="1"/>
  <c r="X52" i="1"/>
  <c r="V121" i="1"/>
  <c r="X86" i="1"/>
  <c r="W61" i="1"/>
  <c r="X76" i="1"/>
  <c r="W129" i="1"/>
  <c r="X134" i="1"/>
  <c r="X71" i="1"/>
  <c r="W36" i="1"/>
  <c r="X38" i="1"/>
  <c r="W133" i="1"/>
  <c r="X149" i="1"/>
  <c r="W131" i="1"/>
  <c r="X90" i="1"/>
  <c r="X39" i="1"/>
  <c r="X48" i="1"/>
  <c r="X100" i="1"/>
  <c r="X81" i="1"/>
  <c r="X151" i="1"/>
  <c r="X27" i="1"/>
  <c r="X18" i="1"/>
  <c r="W15" i="1"/>
  <c r="X32" i="1"/>
  <c r="V101" i="1"/>
  <c r="W22" i="1"/>
  <c r="X67" i="1"/>
  <c r="X33" i="1"/>
  <c r="X6" i="1"/>
  <c r="X42" i="1"/>
  <c r="X117" i="1"/>
  <c r="X11" i="1"/>
  <c r="X99" i="1"/>
  <c r="X118" i="1"/>
  <c r="X94" i="1"/>
  <c r="X135" i="1"/>
  <c r="X45" i="1"/>
  <c r="X83" i="1"/>
  <c r="X126" i="1"/>
  <c r="X60" i="1"/>
  <c r="V63" i="1"/>
  <c r="W14" i="1"/>
  <c r="X104" i="1"/>
  <c r="X21" i="1"/>
  <c r="X137" i="1"/>
  <c r="X64" i="1"/>
  <c r="X37" i="1"/>
  <c r="X119" i="1"/>
  <c r="X122" i="1"/>
  <c r="X3" i="1"/>
  <c r="X73" i="1"/>
  <c r="X12" i="1"/>
  <c r="X9" i="1"/>
  <c r="X96" i="1"/>
  <c r="W46" i="1"/>
  <c r="X111" i="1"/>
  <c r="X66" i="1"/>
  <c r="X120" i="1"/>
  <c r="X139" i="1"/>
  <c r="X61" i="1"/>
  <c r="X57" i="1"/>
  <c r="V72" i="1"/>
  <c r="W139" i="1"/>
  <c r="X16" i="1"/>
  <c r="X91" i="1"/>
  <c r="X65" i="1"/>
  <c r="X112" i="1"/>
  <c r="X28" i="1"/>
  <c r="X85" i="1"/>
  <c r="X98" i="1"/>
  <c r="X132" i="1"/>
  <c r="X7" i="1"/>
  <c r="X113" i="1"/>
  <c r="X95" i="1"/>
  <c r="X29" i="1"/>
  <c r="X46" i="1"/>
  <c r="W83" i="1"/>
  <c r="X105" i="1"/>
  <c r="V140" i="1"/>
  <c r="W147" i="1"/>
  <c r="X34" i="1"/>
  <c r="X129" i="1"/>
  <c r="X15" i="1"/>
  <c r="X87" i="1"/>
  <c r="X22" i="1"/>
  <c r="X131" i="1"/>
  <c r="V125" i="1"/>
  <c r="W114" i="1"/>
  <c r="X54" i="1"/>
  <c r="X2" i="1"/>
  <c r="X24" i="1"/>
  <c r="X49" i="1"/>
  <c r="W10" i="1"/>
  <c r="X148" i="1"/>
  <c r="X89" i="1"/>
  <c r="V103" i="1"/>
  <c r="W71" i="1"/>
  <c r="W87" i="1"/>
  <c r="X115" i="1"/>
  <c r="X79" i="1"/>
  <c r="X26" i="1"/>
  <c r="X141" i="1"/>
  <c r="X4" i="1"/>
  <c r="X56" i="1"/>
  <c r="X31" i="1"/>
  <c r="X78" i="1"/>
  <c r="X35" i="1"/>
  <c r="X127" i="1"/>
  <c r="X8" i="1"/>
  <c r="X77" i="1"/>
  <c r="X92" i="1"/>
  <c r="V146" i="1"/>
  <c r="X107" i="1"/>
  <c r="X68" i="1"/>
  <c r="X97" i="1"/>
  <c r="V106" i="1"/>
  <c r="W75" i="1"/>
  <c r="W74" i="1"/>
  <c r="X13" i="1"/>
  <c r="X58" i="1"/>
  <c r="X123" i="1"/>
  <c r="X62" i="1"/>
  <c r="X41" i="1"/>
  <c r="X25" i="1"/>
  <c r="X138" i="1"/>
  <c r="X108" i="1"/>
  <c r="W40" i="1"/>
  <c r="W142" i="1"/>
  <c r="X69" i="1"/>
  <c r="X50" i="1"/>
  <c r="X5" i="1"/>
  <c r="X19" i="1"/>
  <c r="X109" i="1"/>
  <c r="X17" i="1"/>
  <c r="X93" i="1"/>
  <c r="X23" i="1"/>
  <c r="W120" i="1"/>
  <c r="W18" i="1"/>
  <c r="X51" i="1"/>
  <c r="X55" i="1"/>
  <c r="X88" i="1"/>
  <c r="X84" i="1"/>
  <c r="X59" i="1"/>
  <c r="X110" i="1"/>
  <c r="X144" i="1"/>
  <c r="X20" i="1"/>
  <c r="X150" i="1"/>
  <c r="X43" i="1"/>
  <c r="X70" i="1"/>
  <c r="W124" i="1"/>
  <c r="X143" i="1"/>
  <c r="X53" i="1"/>
  <c r="X47" i="1"/>
  <c r="X130" i="1"/>
  <c r="X102" i="1"/>
  <c r="W136" i="1"/>
  <c r="W30" i="1"/>
  <c r="X40" i="1"/>
  <c r="X124" i="1"/>
  <c r="X75" i="1"/>
  <c r="X136" i="1"/>
  <c r="X36" i="1"/>
  <c r="X133" i="1"/>
  <c r="X114" i="1"/>
  <c r="X10" i="1"/>
  <c r="X74" i="1"/>
  <c r="X30" i="1"/>
  <c r="X14" i="1"/>
  <c r="X147" i="1"/>
  <c r="X142" i="1"/>
  <c r="W116" i="1"/>
  <c r="W80" i="1"/>
  <c r="W52" i="1"/>
  <c r="W134" i="1"/>
  <c r="W149" i="1"/>
  <c r="W48" i="1"/>
  <c r="W3" i="1"/>
  <c r="W67" i="1"/>
  <c r="W144" i="1"/>
  <c r="W126" i="1"/>
  <c r="W99" i="1"/>
  <c r="W57" i="1"/>
  <c r="W98" i="1"/>
  <c r="W32" i="1"/>
  <c r="W100" i="1"/>
  <c r="W105" i="1"/>
  <c r="W122" i="1"/>
  <c r="W60" i="1"/>
  <c r="W9" i="1"/>
  <c r="W104" i="1"/>
  <c r="W118" i="1"/>
  <c r="W33" i="1"/>
  <c r="W73" i="1"/>
  <c r="W6" i="1"/>
  <c r="W132" i="1"/>
  <c r="W42" i="1"/>
  <c r="W94" i="1"/>
  <c r="W117" i="1"/>
  <c r="W12" i="1"/>
  <c r="W11" i="1"/>
  <c r="W113" i="1"/>
  <c r="W16" i="1"/>
  <c r="W81" i="1"/>
  <c r="W21" i="1"/>
  <c r="W7" i="1"/>
  <c r="W137" i="1"/>
  <c r="W135" i="1"/>
  <c r="W64" i="1"/>
  <c r="W96" i="1"/>
  <c r="W37" i="1"/>
  <c r="W151" i="1"/>
  <c r="W119" i="1"/>
  <c r="W66" i="1"/>
  <c r="W34" i="1"/>
  <c r="W95" i="1"/>
  <c r="W91" i="1"/>
  <c r="W45" i="1"/>
  <c r="W65" i="1"/>
  <c r="W27" i="1"/>
  <c r="W112" i="1"/>
  <c r="W111" i="1"/>
  <c r="W28" i="1"/>
  <c r="W29" i="1"/>
  <c r="W85" i="1"/>
  <c r="W38" i="1"/>
  <c r="W20" i="1"/>
  <c r="W69" i="1"/>
  <c r="W2" i="1"/>
  <c r="W24" i="1"/>
  <c r="W49" i="1"/>
  <c r="W17" i="1"/>
  <c r="W143" i="1"/>
  <c r="W93" i="1"/>
  <c r="W68" i="1"/>
  <c r="W130" i="1"/>
  <c r="W23" i="1"/>
  <c r="W102" i="1"/>
  <c r="W79" i="1"/>
  <c r="W141" i="1"/>
  <c r="W56" i="1"/>
  <c r="W78" i="1"/>
  <c r="W127" i="1"/>
  <c r="W8" i="1"/>
  <c r="W92" i="1"/>
  <c r="W128" i="1"/>
  <c r="W121" i="1"/>
  <c r="W13" i="1"/>
  <c r="W58" i="1"/>
  <c r="W123" i="1"/>
  <c r="W62" i="1"/>
  <c r="W103" i="1"/>
  <c r="W41" i="1"/>
  <c r="W25" i="1"/>
  <c r="W63" i="1"/>
  <c r="W140" i="1"/>
  <c r="W138" i="1"/>
  <c r="W108" i="1"/>
  <c r="W39" i="1"/>
  <c r="W82" i="1"/>
  <c r="W86" i="1"/>
  <c r="W76" i="1"/>
  <c r="W90" i="1"/>
  <c r="W54" i="1"/>
  <c r="W150" i="1"/>
  <c r="W50" i="1"/>
  <c r="W43" i="1"/>
  <c r="W5" i="1"/>
  <c r="W19" i="1"/>
  <c r="W70" i="1"/>
  <c r="W109" i="1"/>
  <c r="W107" i="1"/>
  <c r="W148" i="1"/>
  <c r="W53" i="1"/>
  <c r="W47" i="1"/>
  <c r="W89" i="1"/>
  <c r="W97" i="1"/>
  <c r="W115" i="1"/>
  <c r="W26" i="1"/>
  <c r="W4" i="1"/>
  <c r="W31" i="1"/>
  <c r="W35" i="1"/>
  <c r="W77" i="1"/>
  <c r="W44" i="1"/>
  <c r="W101" i="1"/>
  <c r="W51" i="1"/>
  <c r="W125" i="1"/>
  <c r="W146" i="1"/>
  <c r="W55" i="1"/>
  <c r="W106" i="1"/>
  <c r="W88" i="1"/>
  <c r="W84" i="1"/>
  <c r="W72" i="1"/>
  <c r="W145" i="1"/>
  <c r="W59" i="1"/>
  <c r="W110" i="1"/>
  <c r="AH15" i="1" l="1"/>
  <c r="H6" i="3" s="1"/>
  <c r="B26" i="6"/>
  <c r="Z3" i="6"/>
  <c r="Z2" i="6"/>
  <c r="AE36" i="1"/>
  <c r="AE4" i="6"/>
  <c r="G6" i="3"/>
  <c r="AE14" i="1"/>
  <c r="AE2" i="6"/>
  <c r="AE45" i="1"/>
  <c r="AE3" i="6"/>
  <c r="Z4" i="6"/>
  <c r="G8" i="3"/>
  <c r="B18" i="6"/>
  <c r="Z90" i="1"/>
  <c r="AA90" i="1" s="1"/>
  <c r="Z45" i="1"/>
  <c r="Z11" i="1"/>
  <c r="AA11" i="1" s="1"/>
  <c r="Z50" i="1"/>
  <c r="AA50" i="1" s="1"/>
  <c r="Z26" i="1"/>
  <c r="AA26" i="1" s="1"/>
  <c r="Z149" i="1"/>
  <c r="AA149" i="1" s="1"/>
  <c r="Z43" i="1"/>
  <c r="AA43" i="1" s="1"/>
  <c r="Z30" i="1"/>
  <c r="AA30" i="1" s="1"/>
  <c r="Z95" i="1"/>
  <c r="AA95" i="1" s="1"/>
  <c r="Z16" i="1"/>
  <c r="AA16" i="1" s="1"/>
  <c r="Z97" i="1"/>
  <c r="AA97" i="1" s="1"/>
  <c r="Z5" i="1"/>
  <c r="AA5" i="1" s="1"/>
  <c r="Z138" i="1"/>
  <c r="AA138" i="1" s="1"/>
  <c r="Z2" i="1"/>
  <c r="AA2" i="1" s="1"/>
  <c r="Z12" i="1"/>
  <c r="AA12" i="1" s="1"/>
  <c r="Z8" i="1"/>
  <c r="AA8" i="1" s="1"/>
  <c r="Z57" i="1"/>
  <c r="AA57" i="1" s="1"/>
  <c r="Z133" i="1"/>
  <c r="AA133" i="1" s="1"/>
  <c r="Z127" i="1"/>
  <c r="AA127" i="1" s="1"/>
  <c r="Z113" i="1"/>
  <c r="AA113" i="1" s="1"/>
  <c r="Z109" i="1"/>
  <c r="AA109" i="1" s="1"/>
  <c r="Z36" i="1"/>
  <c r="Z35" i="1"/>
  <c r="AA35" i="1" s="1"/>
  <c r="Z83" i="1"/>
  <c r="AA83" i="1" s="1"/>
  <c r="Z23" i="1"/>
  <c r="AA23" i="1" s="1"/>
  <c r="Z20" i="1"/>
  <c r="AA20" i="1" s="1"/>
  <c r="Z117" i="1"/>
  <c r="AA117" i="1" s="1"/>
  <c r="Z75" i="1"/>
  <c r="AA75" i="1" s="1"/>
  <c r="Z145" i="1"/>
  <c r="AA145" i="1" s="1"/>
  <c r="Z41" i="1"/>
  <c r="AA41" i="1" s="1"/>
  <c r="Z47" i="1"/>
  <c r="AA47" i="1" s="1"/>
  <c r="Z31" i="1"/>
  <c r="AA31" i="1" s="1"/>
  <c r="Z68" i="1"/>
  <c r="AA68" i="1" s="1"/>
  <c r="Z86" i="1"/>
  <c r="AA86" i="1" s="1"/>
  <c r="Z135" i="1"/>
  <c r="AA135" i="1" s="1"/>
  <c r="Z3" i="1"/>
  <c r="AA3" i="1" s="1"/>
  <c r="Z21" i="1"/>
  <c r="AA21" i="1" s="1"/>
  <c r="Z52" i="1"/>
  <c r="AA52" i="1" s="1"/>
  <c r="Z67" i="1"/>
  <c r="AA67" i="1" s="1"/>
  <c r="Z53" i="1"/>
  <c r="AA53" i="1" s="1"/>
  <c r="Z85" i="1"/>
  <c r="AA85" i="1" s="1"/>
  <c r="Z137" i="1"/>
  <c r="AA137" i="1" s="1"/>
  <c r="Z107" i="1"/>
  <c r="AA107" i="1" s="1"/>
  <c r="Z28" i="1"/>
  <c r="AA28" i="1" s="1"/>
  <c r="Z42" i="1"/>
  <c r="AA42" i="1" s="1"/>
  <c r="Z93" i="1"/>
  <c r="AA93" i="1" s="1"/>
  <c r="Z121" i="1"/>
  <c r="AA121" i="1" s="1"/>
  <c r="Z82" i="1"/>
  <c r="AA82" i="1" s="1"/>
  <c r="Z110" i="1"/>
  <c r="AA110" i="1" s="1"/>
  <c r="Z98" i="1"/>
  <c r="AA98" i="1" s="1"/>
  <c r="Z9" i="1"/>
  <c r="AA9" i="1" s="1"/>
  <c r="Z51" i="1"/>
  <c r="AA51" i="1" s="1"/>
  <c r="Z60" i="1"/>
  <c r="AA60" i="1" s="1"/>
  <c r="Z105" i="1"/>
  <c r="AA105" i="1" s="1"/>
  <c r="Z134" i="1"/>
  <c r="AA134" i="1" s="1"/>
  <c r="Z142" i="1"/>
  <c r="AA142" i="1" s="1"/>
  <c r="Z77" i="1"/>
  <c r="AA77" i="1" s="1"/>
  <c r="Z69" i="1"/>
  <c r="AA69" i="1" s="1"/>
  <c r="Z25" i="1"/>
  <c r="AA25" i="1" s="1"/>
  <c r="Z15" i="1"/>
  <c r="AA15" i="1" s="1"/>
  <c r="Z96" i="1"/>
  <c r="AA96" i="1" s="1"/>
  <c r="Z124" i="1"/>
  <c r="AA124" i="1" s="1"/>
  <c r="Z72" i="1"/>
  <c r="AA72" i="1" s="1"/>
  <c r="Z103" i="1"/>
  <c r="AA103" i="1" s="1"/>
  <c r="Z148" i="1"/>
  <c r="AA148" i="1" s="1"/>
  <c r="Z56" i="1"/>
  <c r="AA56" i="1" s="1"/>
  <c r="Z143" i="1"/>
  <c r="AA143" i="1" s="1"/>
  <c r="Z119" i="1"/>
  <c r="AA119" i="1" s="1"/>
  <c r="Z118" i="1"/>
  <c r="AA118" i="1" s="1"/>
  <c r="Z139" i="1"/>
  <c r="AA139" i="1" s="1"/>
  <c r="Z33" i="1"/>
  <c r="AA33" i="1" s="1"/>
  <c r="Z34" i="1"/>
  <c r="AA34" i="1" s="1"/>
  <c r="Z94" i="1"/>
  <c r="AA94" i="1" s="1"/>
  <c r="Z58" i="1"/>
  <c r="AA58" i="1" s="1"/>
  <c r="Z76" i="1"/>
  <c r="AA76" i="1" s="1"/>
  <c r="Z27" i="1"/>
  <c r="AA27" i="1" s="1"/>
  <c r="Z55" i="1"/>
  <c r="AA55" i="1" s="1"/>
  <c r="Z79" i="1"/>
  <c r="AA79" i="1" s="1"/>
  <c r="Z129" i="1"/>
  <c r="AA129" i="1" s="1"/>
  <c r="Z74" i="1"/>
  <c r="AA74" i="1" s="1"/>
  <c r="Z108" i="1"/>
  <c r="AA108" i="1" s="1"/>
  <c r="Z65" i="1"/>
  <c r="AA65" i="1" s="1"/>
  <c r="Z10" i="1"/>
  <c r="AA10" i="1" s="1"/>
  <c r="Z128" i="1"/>
  <c r="AA128" i="1" s="1"/>
  <c r="Z151" i="1"/>
  <c r="AA151" i="1" s="1"/>
  <c r="Z38" i="1"/>
  <c r="AA38" i="1" s="1"/>
  <c r="Z114" i="1"/>
  <c r="AA114" i="1" s="1"/>
  <c r="Z7" i="1"/>
  <c r="AA7" i="1" s="1"/>
  <c r="Z24" i="1"/>
  <c r="AA24" i="1" s="1"/>
  <c r="Z101" i="1"/>
  <c r="AA101" i="1" s="1"/>
  <c r="Z39" i="1"/>
  <c r="AA39" i="1" s="1"/>
  <c r="Z22" i="1"/>
  <c r="AA22" i="1" s="1"/>
  <c r="Z63" i="1"/>
  <c r="AA63" i="1" s="1"/>
  <c r="Z116" i="1"/>
  <c r="AA116" i="1" s="1"/>
  <c r="Z104" i="1"/>
  <c r="AA104" i="1" s="1"/>
  <c r="Z147" i="1"/>
  <c r="AA147" i="1" s="1"/>
  <c r="Z89" i="1"/>
  <c r="AA89" i="1" s="1"/>
  <c r="Z29" i="1"/>
  <c r="AA29" i="1" s="1"/>
  <c r="Z131" i="1"/>
  <c r="AA131" i="1" s="1"/>
  <c r="Z14" i="1"/>
  <c r="Z40" i="1"/>
  <c r="AA40" i="1" s="1"/>
  <c r="Z84" i="1"/>
  <c r="AA84" i="1" s="1"/>
  <c r="Z92" i="1"/>
  <c r="AA92" i="1" s="1"/>
  <c r="Z62" i="1"/>
  <c r="AA62" i="1" s="1"/>
  <c r="Z102" i="1"/>
  <c r="AA102" i="1" s="1"/>
  <c r="Z4" i="1"/>
  <c r="AA4" i="1" s="1"/>
  <c r="Z17" i="1"/>
  <c r="AA17" i="1" s="1"/>
  <c r="Z37" i="1"/>
  <c r="AA37" i="1" s="1"/>
  <c r="Z66" i="1"/>
  <c r="AA66" i="1" s="1"/>
  <c r="Z19" i="1"/>
  <c r="AA19" i="1" s="1"/>
  <c r="Z46" i="1"/>
  <c r="AA46" i="1" s="1"/>
  <c r="Z61" i="1"/>
  <c r="AA61" i="1" s="1"/>
  <c r="Z112" i="1"/>
  <c r="AA112" i="1" s="1"/>
  <c r="Z126" i="1"/>
  <c r="AA126" i="1" s="1"/>
  <c r="Z54" i="1"/>
  <c r="AA54" i="1" s="1"/>
  <c r="Z70" i="1"/>
  <c r="AA70" i="1" s="1"/>
  <c r="Z106" i="1"/>
  <c r="AA106" i="1" s="1"/>
  <c r="Z18" i="1"/>
  <c r="AA18" i="1" s="1"/>
  <c r="Z100" i="1"/>
  <c r="AA100" i="1" s="1"/>
  <c r="Z13" i="1"/>
  <c r="AA13" i="1" s="1"/>
  <c r="Z91" i="1"/>
  <c r="AA91" i="1" s="1"/>
  <c r="Z80" i="1"/>
  <c r="AA80" i="1" s="1"/>
  <c r="Z146" i="1"/>
  <c r="AA146" i="1" s="1"/>
  <c r="Z115" i="1"/>
  <c r="AA115" i="1" s="1"/>
  <c r="Z150" i="1"/>
  <c r="AA150" i="1" s="1"/>
  <c r="Z125" i="1"/>
  <c r="AA125" i="1" s="1"/>
  <c r="Z81" i="1"/>
  <c r="AA81" i="1" s="1"/>
  <c r="Z6" i="1"/>
  <c r="AA6" i="1" s="1"/>
  <c r="Z59" i="1"/>
  <c r="AA59" i="1" s="1"/>
  <c r="Z144" i="1"/>
  <c r="AA144" i="1" s="1"/>
  <c r="Z140" i="1"/>
  <c r="AA140" i="1" s="1"/>
  <c r="Z120" i="1"/>
  <c r="AA120" i="1" s="1"/>
  <c r="Z71" i="1"/>
  <c r="AA71" i="1" s="1"/>
  <c r="Z44" i="1"/>
  <c r="AA44" i="1" s="1"/>
  <c r="Z64" i="1"/>
  <c r="AA64" i="1" s="1"/>
  <c r="Z73" i="1"/>
  <c r="AA73" i="1" s="1"/>
  <c r="Z136" i="1"/>
  <c r="AA136" i="1" s="1"/>
  <c r="Z78" i="1"/>
  <c r="AA78" i="1" s="1"/>
  <c r="Z111" i="1"/>
  <c r="AA111" i="1" s="1"/>
  <c r="Z48" i="1"/>
  <c r="AA48" i="1" s="1"/>
  <c r="Z88" i="1"/>
  <c r="AA88" i="1" s="1"/>
  <c r="Z130" i="1"/>
  <c r="AA130" i="1" s="1"/>
  <c r="Z123" i="1"/>
  <c r="AA123" i="1" s="1"/>
  <c r="Z141" i="1"/>
  <c r="AA141" i="1" s="1"/>
  <c r="Z87" i="1"/>
  <c r="AA87" i="1" s="1"/>
  <c r="Z49" i="1"/>
  <c r="AA49" i="1" s="1"/>
  <c r="Z32" i="1"/>
  <c r="AA32" i="1" s="1"/>
  <c r="Z122" i="1"/>
  <c r="AA122" i="1" s="1"/>
  <c r="Z132" i="1"/>
  <c r="AA132" i="1" s="1"/>
  <c r="Z99" i="1"/>
  <c r="AA99" i="1" s="1"/>
  <c r="B5" i="3"/>
  <c r="B6" i="3" s="1"/>
  <c r="G5" i="3" s="1"/>
  <c r="B27" i="6" l="1"/>
  <c r="AA36" i="1"/>
  <c r="AA4" i="6"/>
  <c r="AA14" i="1"/>
  <c r="AA2" i="6"/>
  <c r="AA45" i="1"/>
  <c r="AA3" i="6"/>
  <c r="B28" i="6" l="1"/>
  <c r="H29" i="6"/>
  <c r="B32" i="6" l="1"/>
  <c r="B29" i="6" l="1"/>
  <c r="B37" i="6"/>
  <c r="B38" i="6"/>
  <c r="B39" i="6"/>
  <c r="B40" i="6"/>
  <c r="B41" i="6"/>
  <c r="B42" i="6"/>
  <c r="B36" i="6"/>
  <c r="B30" i="6"/>
  <c r="H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tc={971672D1-5A81-4240-B69C-97244761CCEF}</author>
  </authors>
  <commentList>
    <comment ref="C38" authorId="0" shapeId="0" xr:uid="{971672D1-5A81-4240-B69C-97244761CC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Sydney assets exhibit a 2.3% higher vacancy rate relative to portfolio average, materially compressing NOI and contributing to below-average ROI performance.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<sst xmlns="http://schemas.openxmlformats.org/spreadsheetml/2006/main" count="807" uniqueCount="256">
  <si>
    <t>Property_ID</t>
  </si>
  <si>
    <t>City</t>
  </si>
  <si>
    <t>Type</t>
  </si>
  <si>
    <t>Acquisition_Year</t>
  </si>
  <si>
    <t>Purchase_Price</t>
  </si>
  <si>
    <t>Current_Value</t>
  </si>
  <si>
    <t>Units</t>
  </si>
  <si>
    <t>Occupied_Units</t>
  </si>
  <si>
    <t>Avg_Rent_per_Unit</t>
  </si>
  <si>
    <t>Operating_Cost</t>
  </si>
  <si>
    <t>Maintenance_Cost</t>
  </si>
  <si>
    <t>Debt_Outstanding</t>
  </si>
  <si>
    <t>Interest_Rate</t>
  </si>
  <si>
    <t>Lease_Type</t>
  </si>
  <si>
    <t>P001</t>
  </si>
  <si>
    <t>Perth</t>
  </si>
  <si>
    <t>Retail</t>
  </si>
  <si>
    <t>Long-term</t>
  </si>
  <si>
    <t>P002</t>
  </si>
  <si>
    <t>Adelaide</t>
  </si>
  <si>
    <t>Mixed-use</t>
  </si>
  <si>
    <t>P003</t>
  </si>
  <si>
    <t>Melbourne</t>
  </si>
  <si>
    <t>Warehouse</t>
  </si>
  <si>
    <t>Short-term</t>
  </si>
  <si>
    <t>P004</t>
  </si>
  <si>
    <t>P005</t>
  </si>
  <si>
    <t>Sydney</t>
  </si>
  <si>
    <t>P006</t>
  </si>
  <si>
    <t>P007</t>
  </si>
  <si>
    <t>Office</t>
  </si>
  <si>
    <t>P008</t>
  </si>
  <si>
    <t>P009</t>
  </si>
  <si>
    <t>P010</t>
  </si>
  <si>
    <t>P011</t>
  </si>
  <si>
    <t>Brisbane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</si>
  <si>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</si>
  <si>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</si>
  <si>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</si>
  <si>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</si>
  <si>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</si>
  <si>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</si>
  <si>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</si>
  <si>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</si>
  <si>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</si>
  <si>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</si>
  <si>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</si>
  <si>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</si>
  <si>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</si>
  <si>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</si>
  <si>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</si>
  <si>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</si>
  <si>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</si>
  <si>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</si>
  <si>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</si>
  <si>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</si>
  <si>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</si>
  <si>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</si>
  <si>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</si>
  <si>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</si>
  <si>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</si>
  <si>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</si>
  <si>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</si>
  <si>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</si>
  <si>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</si>
  <si>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</si>
  <si>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</si>
  <si>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</si>
  <si>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</si>
  <si>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</si>
  <si>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</si>
  <si>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</si>
  <si>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</si>
  <si>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</si>
  <si>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</si>
  <si>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</si>
  <si>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</si>
  <si>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</si>
  <si>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</si>
  <si>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</si>
  <si>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</si>
  <si>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</si>
  <si>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</si>
  <si>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</si>
  <si>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</si>
  <si>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</si>
  <si>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</si>
  <si>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</si>
  <si>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</si>
  <si>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</si>
  <si>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</si>
  <si>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</si>
  <si>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</si>
  <si>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</si>
  <si>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</si>
  <si>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</si>
  <si>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</si>
  <si>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</si>
  <si>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</si>
  <si>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</si>
  <si>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</si>
  <si>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</si>
  <si>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</si>
  <si>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</si>
  <si>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</si>
  <si>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</si>
  <si>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</si>
  <si>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</si>
  <si>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</si>
  <si>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</si>
  <si>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</si>
  <si>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</si>
  <si>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</si>
  <si>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</si>
  <si>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</si>
  <si>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</si>
  <si>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</si>
  <si>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</si>
  <si>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</si>
  <si>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</si>
  <si>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</si>
  <si>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</si>
  <si>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</si>
  <si>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</si>
  <si>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</si>
  <si>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</si>
  <si>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</si>
  <si>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</si>
  <si>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</si>
  <si>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</si>
  <si>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</si>
  <si>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</si>
  <si>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</si>
  <si>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</si>
  <si>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</si>
  <si>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</si>
  <si>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</si>
  <si>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</si>
  <si>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</si>
  <si>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</si>
  <si>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</si>
  <si>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</si>
  <si>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</si>
  <si>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</si>
  <si>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</si>
  <si>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</si>
  <si>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</si>
  <si>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</si>
  <si>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</si>
  <si>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</si>
  <si>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</si>
  <si>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</si>
  <si>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</si>
  <si>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</si>
  <si>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</si>
  <si>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</si>
  <si>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</si>
  <si>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</si>
  <si>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</si>
  <si>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</si>
  <si>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</si>
  <si>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</si>
  <si>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</si>
  <si>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</si>
  <si>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</si>
  <si>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</si>
  <si>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</si>
  <si>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</si>
  <si>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</si>
  <si>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</si>
  <si>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</si>
  <si>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</si>
  <si>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</si>
  <si>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</si>
  <si>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</si>
  <si>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Population_Growth_%</t>
  </si>
  <si>
    <t>Rental_Growth_%</t>
  </si>
  <si>
    <t>Cap_Rate_%</t>
  </si>
  <si>
    <t>Infrastructure_Index</t>
  </si>
  <si>
    <t>Unemployment_%</t>
  </si>
  <si>
    <t>Interest_Rate_Market</t>
  </si>
  <si>
    <t>Gross_Rental_Income</t>
  </si>
  <si>
    <t>Vacancy_%</t>
  </si>
  <si>
    <t>Net Operating Income (NOI)</t>
  </si>
  <si>
    <t>EBITDA</t>
  </si>
  <si>
    <t>Gross Yield</t>
  </si>
  <si>
    <t>Cap Rate</t>
  </si>
  <si>
    <t>Annual_Debt_Service</t>
  </si>
  <si>
    <t>DSCR</t>
  </si>
  <si>
    <t>Free_Cash_Flow</t>
  </si>
  <si>
    <t>ROI</t>
  </si>
  <si>
    <t>Total Purchase Price</t>
  </si>
  <si>
    <t>Weighted ROI Numerator</t>
  </si>
  <si>
    <t>Weighted Portfolio ROI</t>
  </si>
  <si>
    <t>Grand Total</t>
  </si>
  <si>
    <t>Average of ROI</t>
  </si>
  <si>
    <t>Average of Vacancy_%</t>
  </si>
  <si>
    <t>Average of DSCR</t>
  </si>
  <si>
    <t>Average of Cap Rate</t>
  </si>
  <si>
    <t>Average of Net Operating Income (NOI)</t>
  </si>
  <si>
    <t>ROI_Percentile</t>
  </si>
  <si>
    <t>Performance_Flag</t>
  </si>
  <si>
    <t>Healthy</t>
  </si>
  <si>
    <t>Underperforming</t>
  </si>
  <si>
    <t>Debt_Ratio</t>
  </si>
  <si>
    <t>Average of Debt_Ratio</t>
  </si>
  <si>
    <t>Debt Burden Diagnosis</t>
  </si>
  <si>
    <t>Potential_Revenue</t>
  </si>
  <si>
    <t>Vacancy_Loss</t>
  </si>
  <si>
    <t>Vacancy_Loss_%</t>
  </si>
  <si>
    <t>Average of Vacancy_Loss_%</t>
  </si>
  <si>
    <t>Vacancy Contribution Check</t>
  </si>
  <si>
    <t>Risk Heatmap</t>
  </si>
  <si>
    <t>Risk_Score</t>
  </si>
  <si>
    <t>Adjusted_Debt_Outstanding</t>
  </si>
  <si>
    <t>Average of Risk_Score</t>
  </si>
  <si>
    <t>City Risk Ranking</t>
  </si>
  <si>
    <t>Total_Reinvested_Captal</t>
  </si>
  <si>
    <t>Year</t>
  </si>
  <si>
    <t>Cash Flow</t>
  </si>
  <si>
    <t>IRR</t>
  </si>
  <si>
    <t>Average ROI</t>
  </si>
  <si>
    <t>Scenario 1 - Reinvested Capital into Brisbane</t>
  </si>
  <si>
    <t>Selective_Reinvestment_Capital</t>
  </si>
  <si>
    <t>Recalculated_Reinvested_Capital - Brisbane</t>
  </si>
  <si>
    <t>Selected_City</t>
  </si>
  <si>
    <t>Cap_Rate</t>
  </si>
  <si>
    <t>Rental_Growth</t>
  </si>
  <si>
    <t>Portfolio Summary</t>
  </si>
  <si>
    <t>Metric</t>
  </si>
  <si>
    <t>Before</t>
  </si>
  <si>
    <t>After</t>
  </si>
  <si>
    <t>Average Risk Score</t>
  </si>
  <si>
    <t>Worst Asset ROI</t>
  </si>
  <si>
    <t>Blended ROI of Divested Assets</t>
  </si>
  <si>
    <t>Projected IRR</t>
  </si>
  <si>
    <t>N/A</t>
  </si>
  <si>
    <t>Before vs After Comparison Table (Risk Score Basis)</t>
  </si>
  <si>
    <r>
      <rPr>
        <b/>
        <sz val="11"/>
        <color theme="1"/>
        <rFont val="Calibri"/>
        <family val="2"/>
        <scheme val="minor"/>
      </rPr>
      <t>↑</t>
    </r>
    <r>
      <rPr>
        <sz val="11"/>
        <color theme="1"/>
        <rFont val="Calibri"/>
        <family val="2"/>
        <scheme val="minor"/>
      </rPr>
      <t xml:space="preserve"> Improving</t>
    </r>
  </si>
  <si>
    <t xml:space="preserve">Cap Rate </t>
  </si>
  <si>
    <t>Scenario Cap Rate</t>
  </si>
  <si>
    <t>Sensitivity Analysis</t>
  </si>
  <si>
    <t>5th Year NOI</t>
  </si>
  <si>
    <t>Cap_Rate vs Rental Growth</t>
  </si>
  <si>
    <t>Strategic Portfolio Optimization — Executive Summary</t>
  </si>
  <si>
    <t>Results</t>
  </si>
  <si>
    <t>Capital Reallocation</t>
  </si>
  <si>
    <t>Old Blended Return</t>
  </si>
  <si>
    <t>New IRR</t>
  </si>
  <si>
    <t>Return Improvement</t>
  </si>
  <si>
    <t>Portolio Risk</t>
  </si>
  <si>
    <t>Cap_rate</t>
  </si>
  <si>
    <t>↓ Reduced</t>
  </si>
  <si>
    <t>Key Metrics Panel</t>
  </si>
  <si>
    <t>Property Type Performance Breakdown</t>
  </si>
  <si>
    <t>City-Level Performance Benchmarking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</si>
</sst>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C09]#,##0.00"/>
    <numFmt numFmtId="165" formatCode="0.000"/>
    <numFmt numFmtId="171" formatCode="&quot; ↓ &quot;0.000"/>
    <numFmt numFmtId="172" formatCode="&quot;▲&quot;\ 0.00%"/>
    <numFmt numFmtId="173" formatCode="&quot;↑&quot;\ 0.00%"/>
    <numFmt numFmtId="180" formatCode="0.0\ &quot;x&quot;"/>
    <numFmt numFmtId="181" formatCode="&quot; ↓ &quot;\ \Red\u\ce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10" fontId="1" fillId="2" borderId="0" xfId="0" applyNumberFormat="1" applyFont="1" applyFill="1"/>
    <xf numFmtId="10" fontId="0" fillId="0" borderId="0" xfId="0" applyNumberFormat="1"/>
    <xf numFmtId="2" fontId="1" fillId="2" borderId="0" xfId="0" applyNumberFormat="1" applyFont="1" applyFill="1"/>
    <xf numFmtId="2" fontId="0" fillId="0" borderId="0" xfId="0" applyNumberFormat="1"/>
    <xf numFmtId="0" fontId="1" fillId="2" borderId="0" xfId="0" applyFont="1" applyFill="1" applyAlignment="1">
      <alignment vertical="center"/>
    </xf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1" fillId="3" borderId="0" xfId="0" applyFont="1" applyFill="1" applyAlignment="1">
      <alignment horizontal="center"/>
    </xf>
    <xf numFmtId="165" fontId="1" fillId="2" borderId="0" xfId="0" applyNumberFormat="1" applyFont="1" applyFill="1"/>
    <xf numFmtId="165" fontId="0" fillId="0" borderId="0" xfId="0" applyNumberFormat="1"/>
    <xf numFmtId="0" fontId="1" fillId="3" borderId="0" xfId="0" applyFont="1" applyFill="1" applyAlignment="1">
      <alignment vertical="center"/>
    </xf>
    <xf numFmtId="2" fontId="1" fillId="3" borderId="0" xfId="0" applyNumberFormat="1" applyFont="1" applyFill="1"/>
    <xf numFmtId="10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9" fontId="1" fillId="0" borderId="0" xfId="0" applyNumberFormat="1" applyFont="1"/>
    <xf numFmtId="10" fontId="1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1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9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vertical="center" wrapText="1"/>
    </xf>
    <xf numFmtId="10" fontId="0" fillId="3" borderId="0" xfId="0" applyNumberFormat="1" applyFill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 applyAlignment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181" fontId="0" fillId="0" borderId="0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180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$-C09]#,##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numFmt numFmtId="165" formatCode="0.000"/>
    </dxf>
    <dxf>
      <numFmt numFmtId="14" formatCode="0.00%"/>
    </dxf>
    <dxf>
      <numFmt numFmtId="164" formatCode="[$$-C09]#,##0.00"/>
    </dxf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numFmt numFmtId="164" formatCode="[$$-C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numFmt numFmtId="164" formatCode="[$$-C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2</xdr:row>
      <xdr:rowOff>139065</xdr:rowOff>
    </xdr:from>
    <xdr:to>
      <xdr:col>12</xdr:col>
      <xdr:colOff>104774</xdr:colOff>
      <xdr:row>9</xdr:row>
      <xdr:rowOff>173355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079701-1092-40B3-3019-88C890175AB7}"/>
            </a:ext>
          </a:extLst>
        </xdr:cNvPr>
        <xdr:cNvSpPr txBox="1"/>
      </xdr:nvSpPr>
      <xdr:spPr>
        <a:xfrm>
          <a:off x="373380" y="681990"/>
          <a:ext cx="8113394" cy="13011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 u="sng"/>
            <a:t>Investment Decision Summary</a:t>
          </a:r>
        </a:p>
        <a:p>
          <a:pPr algn="ctr"/>
          <a:endParaRPr lang="en-IN" sz="1000" b="1" u="sng"/>
        </a:p>
        <a:p>
          <a:pPr algn="l"/>
          <a:r>
            <a:rPr lang="en-IN" b="1"/>
            <a:t>Portfolio analysis </a:t>
          </a:r>
          <a:r>
            <a:rPr lang="en-IN"/>
            <a:t>identified </a:t>
          </a:r>
          <a:r>
            <a:rPr lang="en-IN" b="1"/>
            <a:t>capital inefficiencies </a:t>
          </a:r>
          <a:r>
            <a:rPr lang="en-IN"/>
            <a:t>driven by </a:t>
          </a:r>
          <a:r>
            <a:rPr lang="en-IN" b="1"/>
            <a:t>underperforming assets with structurally weak returns</a:t>
          </a:r>
          <a:r>
            <a:rPr lang="en-IN"/>
            <a:t>. A </a:t>
          </a:r>
          <a:r>
            <a:rPr lang="en-IN" b="1"/>
            <a:t>selective divestment and reinvestment strategy was developed</a:t>
          </a:r>
          <a:r>
            <a:rPr lang="en-IN"/>
            <a:t>, </a:t>
          </a:r>
          <a:r>
            <a:rPr lang="en-IN" b="1"/>
            <a:t>reallocating $10.57M </a:t>
          </a:r>
          <a:r>
            <a:rPr lang="en-IN"/>
            <a:t>into higher-growth </a:t>
          </a:r>
          <a:r>
            <a:rPr lang="en-IN" b="1"/>
            <a:t>Brisbane assets</a:t>
          </a:r>
          <a:r>
            <a:rPr lang="en-IN"/>
            <a:t>. The optimized </a:t>
          </a:r>
          <a:r>
            <a:rPr lang="en-IN" b="1"/>
            <a:t>allocation increases projected return from 2.62% blended ROI to 12.19% IRR </a:t>
          </a:r>
          <a:r>
            <a:rPr lang="en-IN"/>
            <a:t>while</a:t>
          </a:r>
          <a:r>
            <a:rPr lang="en-IN" b="1"/>
            <a:t> reducing portfolio risk and improving earnings stability</a:t>
          </a:r>
          <a:r>
            <a:rPr lang="en-IN"/>
            <a:t>. </a:t>
          </a:r>
          <a:r>
            <a:rPr lang="en-IN" b="1"/>
            <a:t>Sensitivity testing confirms resilience under adverse market conditions</a:t>
          </a:r>
          <a:r>
            <a:rPr lang="en-IN"/>
            <a:t>, validating the strategy as financially and operationally superior.</a:t>
          </a:r>
          <a:endParaRPr lang="en-IN" sz="1100"/>
        </a:p>
      </xdr:txBody>
    </xdr:sp>
    <xdr:clientData/>
  </xdr:twoCellAnchor>
  <xdr:twoCellAnchor>
    <xdr:from>
      <xdr:col>1</xdr:col>
      <xdr:colOff>262890</xdr:colOff>
      <xdr:row>21</xdr:row>
      <xdr:rowOff>148591</xdr:rowOff>
    </xdr:from>
    <xdr:to>
      <xdr:col>11</xdr:col>
      <xdr:colOff>72390</xdr:colOff>
      <xdr:row>29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797006-3E4D-1021-03C5-9E39417822E9}"/>
            </a:ext>
          </a:extLst>
        </xdr:cNvPr>
        <xdr:cNvSpPr txBox="1"/>
      </xdr:nvSpPr>
      <xdr:spPr>
        <a:xfrm>
          <a:off x="872490" y="4139566"/>
          <a:ext cx="6972300" cy="138683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u="sng"/>
            <a:t> Risk</a:t>
          </a:r>
          <a:r>
            <a:rPr lang="en-IN" sz="1600" b="1" u="sng" baseline="0"/>
            <a:t> Validation</a:t>
          </a:r>
          <a:endParaRPr lang="en-IN" sz="1600" b="1" u="sng"/>
        </a:p>
        <a:p>
          <a:endParaRPr lang="en-IN"/>
        </a:p>
        <a:p>
          <a:r>
            <a:rPr lang="en-IN" b="1"/>
            <a:t>Sensitivity analysis</a:t>
          </a:r>
          <a:r>
            <a:rPr lang="en-IN"/>
            <a:t> indicates the strategy remains </a:t>
          </a:r>
          <a:r>
            <a:rPr lang="en-IN" b="1"/>
            <a:t>financially resilient under adverse valuation scenarios</a:t>
          </a:r>
          <a:r>
            <a:rPr lang="en-IN"/>
            <a:t>. Even with </a:t>
          </a:r>
          <a:r>
            <a:rPr lang="en-IN" b="1"/>
            <a:t>cap rate expansion to 7.5%</a:t>
          </a:r>
          <a:r>
            <a:rPr lang="en-IN"/>
            <a:t>—representing a material market softening—</a:t>
          </a:r>
          <a:r>
            <a:rPr lang="en-IN" b="1"/>
            <a:t>projected IRR remains above 10%, </a:t>
          </a:r>
          <a:r>
            <a:rPr lang="en-IN"/>
            <a:t>confirming that returns are driven by </a:t>
          </a:r>
          <a:r>
            <a:rPr lang="en-IN" b="1"/>
            <a:t>structural portfolio improvement </a:t>
          </a:r>
          <a:r>
            <a:rPr lang="en-IN"/>
            <a:t>rather than favorable assumptions. This demonstrates strong </a:t>
          </a:r>
          <a:r>
            <a:rPr lang="en-IN" b="1"/>
            <a:t>downside protection </a:t>
          </a:r>
          <a:r>
            <a:rPr lang="en-IN"/>
            <a:t>and </a:t>
          </a:r>
          <a:r>
            <a:rPr lang="en-IN" b="1"/>
            <a:t>validates the robustness of the reallocation strategy</a:t>
          </a:r>
          <a:r>
            <a:rPr lang="en-IN"/>
            <a:t>.</a:t>
          </a:r>
          <a:endParaRPr lang="en-IN" sz="1100"/>
        </a:p>
      </xdr:txBody>
    </xdr:sp>
    <xdr:clientData/>
  </xdr:twoCellAnchor>
  <xdr:twoCellAnchor>
    <xdr:from>
      <xdr:col>1</xdr:col>
      <xdr:colOff>302896</xdr:colOff>
      <xdr:row>30</xdr:row>
      <xdr:rowOff>125730</xdr:rowOff>
    </xdr:from>
    <xdr:to>
      <xdr:col>11</xdr:col>
      <xdr:colOff>38101</xdr:colOff>
      <xdr:row>38</xdr:row>
      <xdr:rowOff>17145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CF46AD-0CF7-4771-F4A0-D37CC93643E8}"/>
            </a:ext>
          </a:extLst>
        </xdr:cNvPr>
        <xdr:cNvSpPr txBox="1"/>
      </xdr:nvSpPr>
      <xdr:spPr>
        <a:xfrm>
          <a:off x="912496" y="5764530"/>
          <a:ext cx="6898005" cy="13392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b="1"/>
        </a:p>
        <a:p>
          <a:pPr algn="ctr"/>
          <a:r>
            <a:rPr lang="en-IN" sz="1800" b="1" u="sng"/>
            <a:t>Final Recommendation</a:t>
          </a:r>
        </a:p>
        <a:p>
          <a:pPr algn="ctr"/>
          <a:endParaRPr lang="en-IN" sz="1100" b="1" u="sng"/>
        </a:p>
        <a:p>
          <a:r>
            <a:rPr lang="en-IN" b="1"/>
            <a:t> Execute selective divestment of structurally underperforming assets and redeploy capital into higher-growth Brisbane properties to maximize risk-adjusted returns and strengthen long-term portfolio stability.</a:t>
          </a:r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179070</xdr:colOff>
      <xdr:row>32</xdr:row>
      <xdr:rowOff>125730</xdr:rowOff>
    </xdr:from>
    <xdr:to>
      <xdr:col>4</xdr:col>
      <xdr:colOff>314325</xdr:colOff>
      <xdr:row>38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556B4-BEB7-4697-2C0F-4288C9421B8E}"/>
            </a:ext>
          </a:extLst>
        </xdr:cNvPr>
        <xdr:cNvSpPr txBox="1"/>
      </xdr:nvSpPr>
      <xdr:spPr>
        <a:xfrm rot="10800000" flipH="1" flipV="1">
          <a:off x="4522470" y="5916930"/>
          <a:ext cx="2583180" cy="9886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Sydney assets exhibit a 2.3% higher vacancy rate relative to portfolio average, materially compressing NOI and contributing to below-average ROI performance.</a:t>
          </a:r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13</xdr:col>
      <xdr:colOff>140970</xdr:colOff>
      <xdr:row>2</xdr:row>
      <xdr:rowOff>180974</xdr:rowOff>
    </xdr:from>
    <xdr:to>
      <xdr:col>16</xdr:col>
      <xdr:colOff>510540</xdr:colOff>
      <xdr:row>8</xdr:row>
      <xdr:rowOff>57149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2CDB85-702F-BBA5-7AFA-1E7D14FB109A}"/>
            </a:ext>
          </a:extLst>
        </xdr:cNvPr>
        <xdr:cNvSpPr txBox="1"/>
      </xdr:nvSpPr>
      <xdr:spPr>
        <a:xfrm>
          <a:off x="16371570" y="542924"/>
          <a:ext cx="2198370" cy="9620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Sydney exhibits elevated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operational</a:t>
          </a:r>
          <a:r>
            <a:rPr lang="en-IN" b="1"/>
            <a:t>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risk</a:t>
          </a:r>
          <a:r>
            <a:rPr lang="en-IN" b="1"/>
            <a:t> driven by high vacancy, whereas Brisbane displays capital structure risk with lower DSCR and higher leverage.</a:t>
          </a:r>
          <a:endParaRPr lang="en-IN" sz="1100" b="1"/>
        </a:p>
      </xdr:txBody>
    </xdr:sp>
    <xdr:clientData/>
  </xdr:twoCellAnchor>
  <xdr:twoCellAnchor>
    <xdr:from>
      <xdr:col>10</xdr:col>
      <xdr:colOff>304800</xdr:colOff>
      <xdr:row>13</xdr:row>
      <xdr:rowOff>19050</xdr:rowOff>
    </xdr:from>
    <xdr:to>
      <xdr:col>11</xdr:col>
      <xdr:colOff>1219200</xdr:colOff>
      <xdr:row>17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634171-ECE9-14B5-D84D-7BA1D5237F11}"/>
            </a:ext>
          </a:extLst>
        </xdr:cNvPr>
        <xdr:cNvSpPr txBox="1"/>
      </xdr:nvSpPr>
      <xdr:spPr>
        <a:xfrm>
          <a:off x="10467975" y="2371725"/>
          <a:ext cx="2314575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Sydney exhibits the highest composite </a:t>
          </a:r>
          <a:r>
            <a:rPr lang="en-IN" sz="1100" b="1">
              <a:solidFill>
                <a:schemeClr val="dk1"/>
              </a:solidFill>
              <a:latin typeface="+mn-lt"/>
              <a:ea typeface="+mn-ea"/>
              <a:cs typeface="+mn-cs"/>
            </a:rPr>
            <a:t>structural</a:t>
          </a:r>
          <a:r>
            <a:rPr lang="en-IN" b="1"/>
            <a:t> risk score driven by elevated vacancy and moderate leverage exposure.</a:t>
          </a:r>
          <a:endParaRPr lang="en-IN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278130</xdr:colOff>
      <xdr:row>9</xdr:row>
      <xdr:rowOff>38100</xdr:rowOff>
    </xdr:from>
    <xdr:to>
      <xdr:col>10</xdr:col>
      <xdr:colOff>240030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A74DEB-DDBF-3C44-C3FB-B6E0669D22A2}"/>
            </a:ext>
          </a:extLst>
        </xdr:cNvPr>
        <xdr:cNvSpPr txBox="1"/>
      </xdr:nvSpPr>
      <xdr:spPr>
        <a:xfrm>
          <a:off x="3040380" y="1666875"/>
          <a:ext cx="5391150" cy="148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828800" marR="0" lvl="4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Scenario 1 Conclusion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The portfolio review identified one value-destructive asset (-3.02% ROI) and one structurally weak asset (8.26% ROI with elevated vacancy). While the three assets deliver a blended return of ~10.3%, performance is volatile and operationally unstable. A Brisbane redeployment yields a projected 12% IRR with stronger demand fundamentals and lower structural risk. However, the 25.58% ROI asset continues to deliver superior risk-adjusted performance. Therefore, a selective divestment strategy is recommended — exiting underperforming assets while retaining high-yield capital-efficient holdings.</a:t>
          </a:r>
        </a:p>
        <a:p>
          <a:endParaRPr lang="en-IN" sz="1100"/>
        </a:p>
      </xdr:txBody>
    </xdr:sp>
    <xdr:clientData/>
  </xdr:twoCellAnchor>
  <xdr:twoCellAnchor>
    <xdr:from>
      <xdr:col>2</xdr:col>
      <xdr:colOff>179070</xdr:colOff>
      <xdr:row>20</xdr:row>
      <xdr:rowOff>125729</xdr:rowOff>
    </xdr:from>
    <xdr:to>
      <xdr:col>10</xdr:col>
      <xdr:colOff>323850</xdr:colOff>
      <xdr:row>30</xdr:row>
      <xdr:rowOff>66674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533EF8-008D-502F-D7A4-8A02607679A1}"/>
            </a:ext>
          </a:extLst>
        </xdr:cNvPr>
        <xdr:cNvSpPr txBox="1"/>
      </xdr:nvSpPr>
      <xdr:spPr>
        <a:xfrm>
          <a:off x="4208145" y="3745229"/>
          <a:ext cx="5888355" cy="17506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b="1" u="sng"/>
            <a:t>Scenario 2 – Selective Capital Reallocation</a:t>
          </a:r>
        </a:p>
        <a:p>
          <a:pPr algn="l"/>
          <a:r>
            <a:rPr lang="en-IN"/>
            <a:t>Selective divestment of value-destructive and structurally weak assets improves capital efficiency from </a:t>
          </a:r>
          <a:r>
            <a:rPr lang="en-IN" b="1"/>
            <a:t>2.62%</a:t>
          </a:r>
          <a:r>
            <a:rPr lang="en-IN"/>
            <a:t> blended ROI to a projected </a:t>
          </a:r>
          <a:r>
            <a:rPr lang="en-IN" b="1"/>
            <a:t>12.19% IRR</a:t>
          </a:r>
          <a:r>
            <a:rPr lang="en-IN"/>
            <a:t>, while preserving high-performing holdings. The strategy enhances portfolio stability and reduces operational volatility without sacrificing growth exposure.</a:t>
          </a:r>
        </a:p>
        <a:p>
          <a:pPr algn="l"/>
          <a:r>
            <a:rPr lang="en-IN"/>
            <a:t>Rather than executing blanket divestment, capital was reallocated selectively. Exiting underperforming assets unlocks </a:t>
          </a:r>
          <a:r>
            <a:rPr lang="en-IN" b="1"/>
            <a:t>$10.57M </a:t>
          </a:r>
          <a:r>
            <a:rPr lang="en-IN"/>
            <a:t>for reinvestment into higher-growth Brisbane markets, generating a projected </a:t>
          </a:r>
          <a:r>
            <a:rPr lang="en-IN" b="1"/>
            <a:t>12.19% IRR </a:t>
          </a:r>
          <a:r>
            <a:rPr lang="en-IN"/>
            <a:t>— </a:t>
          </a:r>
          <a:r>
            <a:rPr lang="en-IN" b="1"/>
            <a:t>nearly 5x the blended return </a:t>
          </a:r>
          <a:r>
            <a:rPr lang="en-IN"/>
            <a:t>of the divested portfolio segment.</a:t>
          </a:r>
          <a:endParaRPr lang="en-IN" sz="1100"/>
        </a:p>
      </xdr:txBody>
    </xdr:sp>
    <xdr:clientData/>
  </xdr:twoCellAnchor>
  <xdr:twoCellAnchor>
    <xdr:from>
      <xdr:col>2</xdr:col>
      <xdr:colOff>209550</xdr:colOff>
      <xdr:row>36</xdr:row>
      <xdr:rowOff>17145</xdr:rowOff>
    </xdr:from>
    <xdr:to>
      <xdr:col>8</xdr:col>
      <xdr:colOff>361950</xdr:colOff>
      <xdr:row>41</xdr:row>
      <xdr:rowOff>120015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F798DA-C1B4-97DD-8AF7-48616693AE02}"/>
            </a:ext>
          </a:extLst>
        </xdr:cNvPr>
        <xdr:cNvSpPr txBox="1"/>
      </xdr:nvSpPr>
      <xdr:spPr>
        <a:xfrm>
          <a:off x="4238625" y="6532245"/>
          <a:ext cx="4676775" cy="10077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                                         </a:t>
          </a:r>
          <a:r>
            <a:rPr lang="en-IN" b="1" u="sng"/>
            <a:t>Sensitivity Analysis - Conclusion</a:t>
          </a:r>
        </a:p>
        <a:p>
          <a:r>
            <a:rPr lang="en-IN"/>
            <a:t>Even if exit cap rates </a:t>
          </a:r>
          <a:r>
            <a:rPr lang="en-IN" b="1"/>
            <a:t>expand from 6.66% to 7.5%, projected IRR </a:t>
          </a:r>
          <a:r>
            <a:rPr lang="en-IN"/>
            <a:t>remains </a:t>
          </a:r>
          <a:r>
            <a:rPr lang="en-IN" b="1"/>
            <a:t>above 10%, </a:t>
          </a:r>
          <a:r>
            <a:rPr lang="en-IN"/>
            <a:t>indicating the </a:t>
          </a:r>
          <a:r>
            <a:rPr lang="en-IN" b="1"/>
            <a:t>strategy is resilient under adverse valuation scenarios.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240578</xdr:colOff>
      <xdr:row>8</xdr:row>
      <xdr:rowOff>104383</xdr:rowOff>
    </xdr:from>
    <xdr:to>
      <xdr:col>40</xdr:col>
      <xdr:colOff>141622</xdr:colOff>
      <xdr:row>16</xdr:row>
      <xdr:rowOff>120953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9FAE34-888D-A144-C538-6922307A9546}"/>
            </a:ext>
          </a:extLst>
        </xdr:cNvPr>
        <xdr:cNvSpPr txBox="1"/>
      </xdr:nvSpPr>
      <xdr:spPr>
        <a:xfrm>
          <a:off x="36709585" y="1565753"/>
          <a:ext cx="4807071" cy="14779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none"/>
            <a:t>                                   </a:t>
          </a:r>
          <a:r>
            <a:rPr lang="en-IN" sz="2000" b="1" u="sng"/>
            <a:t>Strategic Interpretation </a:t>
          </a:r>
        </a:p>
        <a:p>
          <a:r>
            <a:rPr lang="en-IN" sz="1600"/>
            <a:t>The highest-risk assets are not vacancy-driven but structurally overleveraged, with debt exceeding asset value and DSCR below 0.1, indicating severe capital inefficiency</a:t>
          </a:r>
          <a:r>
            <a:rPr lang="en-IN"/>
            <a:t>.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bojyoti Bose" id="{9008EF2F-A352-437A-9F3F-9698EC904543}" userId="2732a16d9c8686d7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jyoti (DJ)" refreshedDate="46065.091286689814" createdVersion="8" refreshedVersion="8" minRefreshableVersion="3" recordCount="150" xr:uid="{9DEB053A-39E8-4D9F-AA61-B951A4DEEDF4}">
  <cacheSource type="worksheet">
    <worksheetSource name="PortfolioData"/>
  </cacheSource>
  <cacheFields count="32">
    <cacheField name="Property_ID" numFmtId="0">
      <sharedItems/>
    </cacheField>
    <cacheField name="City" numFmtId="0">
      <sharedItems count="5">
        <s v="Adelaide"/>
        <s v="Sydney"/>
        <s v="Perth"/>
        <s v="Melbourne"/>
        <s v="Brisbane"/>
      </sharedItems>
    </cacheField>
    <cacheField name="Type" numFmtId="0">
      <sharedItems count="4">
        <s v="Retail"/>
        <s v="Mixed-use"/>
        <s v="Office"/>
        <s v="Warehouse"/>
      </sharedItems>
    </cacheField>
    <cacheField name="Acquisition_Year" numFmtId="0">
      <sharedItems containsSemiMixedTypes="0" containsString="0" containsNumber="1" containsInteger="1" minValue="2010" maxValue="2022"/>
    </cacheField>
    <cacheField name="Purchase_Price" numFmtId="0">
      <sharedItems containsSemiMixedTypes="0" containsString="0" containsNumber="1" containsInteger="1" minValue="5016882" maxValue="24878928"/>
    </cacheField>
    <cacheField name="Current_Value" numFmtId="0">
      <sharedItems containsSemiMixedTypes="0" containsString="0" containsNumber="1" minValue="4520108.38" maxValue="32241083.140000001"/>
    </cacheField>
    <cacheField name="Units" numFmtId="0">
      <sharedItems containsSemiMixedTypes="0" containsString="0" containsNumber="1" containsInteger="1" minValue="10" maxValue="80"/>
    </cacheField>
    <cacheField name="Occupied_Units" numFmtId="0">
      <sharedItems containsSemiMixedTypes="0" containsString="0" containsNumber="1" containsInteger="1" minValue="7" maxValue="75"/>
    </cacheField>
    <cacheField name="Avg_Rent_per_Unit" numFmtId="0">
      <sharedItems containsSemiMixedTypes="0" containsString="0" containsNumber="1" containsInteger="1" minValue="1513" maxValue="5991"/>
    </cacheField>
    <cacheField name="Operating_Cost" numFmtId="0">
      <sharedItems containsSemiMixedTypes="0" containsString="0" containsNumber="1" containsInteger="1" minValue="200614" maxValue="898536"/>
    </cacheField>
    <cacheField name="Maintenance_Cost" numFmtId="0">
      <sharedItems containsSemiMixedTypes="0" containsString="0" containsNumber="1" containsInteger="1" minValue="101551" maxValue="499742"/>
    </cacheField>
    <cacheField name="Debt_Outstanding" numFmtId="0">
      <sharedItems containsSemiMixedTypes="0" containsString="0" containsNumber="1" containsInteger="1" minValue="2065071" maxValue="14999242"/>
    </cacheField>
    <cacheField name="Interest_Rate" numFmtId="0">
      <sharedItems containsSemiMixedTypes="0" containsString="0" containsNumber="1" minValue="3.53" maxValue="7.47"/>
    </cacheField>
    <cacheField name="Lease_Type" numFmtId="0">
      <sharedItems/>
    </cacheField>
    <cacheField name="Gross_Rental_Income" numFmtId="2">
      <sharedItems containsSemiMixedTypes="0" containsString="0" containsNumber="1" containsInteger="1" minValue="165228" maxValue="5371200"/>
    </cacheField>
    <cacheField name="Vacancy_%" numFmtId="10">
      <sharedItems containsSemiMixedTypes="0" containsString="0" containsNumber="1" minValue="0" maxValue="0.36363636363636365"/>
    </cacheField>
    <cacheField name="Net Operating Income (NOI)" numFmtId="2">
      <sharedItems containsSemiMixedTypes="0" containsString="0" containsNumber="1" containsInteger="1" minValue="-915181" maxValue="4286801"/>
    </cacheField>
    <cacheField name="Annual_Debt_Service" numFmtId="2">
      <sharedItems containsSemiMixedTypes="0" containsString="0" containsNumber="1" minValue="90410.652000000016" maxValue="958451.5638"/>
    </cacheField>
    <cacheField name="Adjusted_Debt_Outstanding" numFmtId="2">
      <sharedItems containsSemiMixedTypes="0" containsString="0" containsNumber="1" minValue="2065071" maxValue="14999242"/>
    </cacheField>
    <cacheField name="DSCR" numFmtId="2">
      <sharedItems containsSemiMixedTypes="0" containsString="0" containsNumber="1" minValue="-7.4501908744012741" maxValue="26.908070176815389"/>
    </cacheField>
    <cacheField name="Free_Cash_Flow" numFmtId="2">
      <sharedItems containsSemiMixedTypes="0" containsString="0" containsNumber="1" minValue="-1814630.8041000001" maxValue="3943531.0814"/>
    </cacheField>
    <cacheField name="EBITDA" numFmtId="2">
      <sharedItems containsSemiMixedTypes="0" containsString="0" containsNumber="1" containsInteger="1" minValue="-915181" maxValue="4286801"/>
    </cacheField>
    <cacheField name="Gross Yield" numFmtId="10">
      <sharedItems containsSemiMixedTypes="0" containsString="0" containsNumber="1" minValue="8.3253734843998697E-3" maxValue="0.61461270085964526"/>
    </cacheField>
    <cacheField name="Cap Rate" numFmtId="10">
      <sharedItems containsSemiMixedTypes="0" containsString="0" containsNumber="1" minValue="-7.3569158364411982E-2" maxValue="0.3761789181564808"/>
    </cacheField>
    <cacheField name="ROI" numFmtId="10">
      <sharedItems containsSemiMixedTypes="0" containsString="0" containsNumber="1" minValue="-0.12217738964882155" maxValue="0.85616945726289795"/>
    </cacheField>
    <cacheField name="ROI_Percentile" numFmtId="2">
      <sharedItems containsSemiMixedTypes="0" containsString="0" containsNumber="1" minValue="0" maxValue="1"/>
    </cacheField>
    <cacheField name="Performance_Flag" numFmtId="10">
      <sharedItems count="2">
        <s v="Healthy"/>
        <s v="Underperforming"/>
      </sharedItems>
    </cacheField>
    <cacheField name="Debt_Ratio" numFmtId="10">
      <sharedItems containsSemiMixedTypes="0" containsString="0" containsNumber="1" minValue="9.8050555552695304E-2" maxValue="2.5527336544094354"/>
    </cacheField>
    <cacheField name="Potential_Revenue" numFmtId="0">
      <sharedItems containsSemiMixedTypes="0" containsString="0" containsNumber="1" containsInteger="1" minValue="236040" maxValue="5442816"/>
    </cacheField>
    <cacheField name="Vacancy_Loss" numFmtId="164">
      <sharedItems containsSemiMixedTypes="0" containsString="0" containsNumber="1" containsInteger="1" minValue="0" maxValue="1428588"/>
    </cacheField>
    <cacheField name="Vacancy_Loss_%" numFmtId="10">
      <sharedItems containsSemiMixedTypes="0" containsString="0" containsNumber="1" minValue="0" maxValue="0.36363636363636365"/>
    </cacheField>
    <cacheField name="Risk_Score" numFmtId="165">
      <sharedItems containsSemiMixedTypes="0" containsString="0" containsNumber="1" minValue="-32.143872043747336" maxValue="7.1940879442516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P051"/>
    <x v="0"/>
    <x v="0"/>
    <n v="2019"/>
    <n v="9083243"/>
    <n v="10046521.449999999"/>
    <n v="28"/>
    <n v="28"/>
    <n v="3831"/>
    <n v="898536"/>
    <n v="368748"/>
    <n v="13247980"/>
    <n v="5.62"/>
    <s v="Short-term"/>
    <n v="1287216"/>
    <n v="0"/>
    <n v="19932"/>
    <n v="451691.60439200001"/>
    <n v="8037217.1600000001"/>
    <n v="4.4127452904132433E-2"/>
    <n v="-431759.60439200001"/>
    <n v="19932"/>
    <n v="0.14171326254290456"/>
    <n v="1.9839702825697947E-3"/>
    <n v="0.10824442877945677"/>
    <n v="0.33500000000000002"/>
    <x v="0"/>
    <n v="1.3186633867187931"/>
    <n v="1287216"/>
    <n v="0"/>
    <n v="0"/>
    <n v="7.194087944251641"/>
  </r>
  <r>
    <s v="P129"/>
    <x v="1"/>
    <x v="1"/>
    <n v="2016"/>
    <n v="9069514"/>
    <n v="11499495.85"/>
    <n v="14"/>
    <n v="9"/>
    <n v="5516"/>
    <n v="407235"/>
    <n v="133639"/>
    <n v="12757058"/>
    <n v="4.22"/>
    <s v="Short-term"/>
    <n v="595728"/>
    <n v="0.3571428571428571"/>
    <n v="54854"/>
    <n v="388222.97989599995"/>
    <n v="9199596.6799999997"/>
    <n v="0.1412950877217384"/>
    <n v="-333368.97989599995"/>
    <n v="54854"/>
    <n v="6.568466623459647E-2"/>
    <n v="4.7701221614858879E-3"/>
    <n v="0.27397673679096801"/>
    <n v="0.61"/>
    <x v="0"/>
    <n v="1.109358024595487"/>
    <n v="926688"/>
    <n v="330960"/>
    <n v="0.35714285714285715"/>
    <n v="2.5988806141290328"/>
  </r>
  <r>
    <s v="P045"/>
    <x v="2"/>
    <x v="2"/>
    <n v="2010"/>
    <n v="13629790"/>
    <n v="17977323.02"/>
    <n v="36"/>
    <n v="33"/>
    <n v="2915"/>
    <n v="624393"/>
    <n v="448510"/>
    <n v="7651072"/>
    <n v="6.37"/>
    <s v="Long-term"/>
    <n v="1154340"/>
    <n v="8.333333333333337E-2"/>
    <n v="81437"/>
    <n v="487373.28640000004"/>
    <n v="7651072"/>
    <n v="0.16709368829288382"/>
    <n v="-405936.28640000004"/>
    <n v="81437"/>
    <n v="8.4692427396166781E-2"/>
    <n v="4.5299847985932227E-3"/>
    <n v="0.324947781293769"/>
    <n v="0.73099999999999998"/>
    <x v="0"/>
    <n v="0.42559573477586654"/>
    <n v="1259280"/>
    <n v="104940"/>
    <n v="8.3333333333333329E-2"/>
    <n v="1.9564120061219021"/>
  </r>
  <r>
    <s v="P028"/>
    <x v="3"/>
    <x v="3"/>
    <n v="2013"/>
    <n v="5218931"/>
    <n v="6879819.4100000001"/>
    <n v="44"/>
    <n v="36"/>
    <n v="2992"/>
    <n v="704637"/>
    <n v="487215"/>
    <n v="11562019"/>
    <n v="6.91"/>
    <s v="Short-term"/>
    <n v="1292544"/>
    <n v="0.18181818181818177"/>
    <n v="100692"/>
    <n v="380316.41698480002"/>
    <n v="5503855.5280000009"/>
    <n v="0.26475848925560402"/>
    <n v="-279624.41698480002"/>
    <n v="100692"/>
    <n v="0.24766451213859697"/>
    <n v="1.4635849286049791E-2"/>
    <n v="0.33753663537609524"/>
    <n v="0.75800000000000001"/>
    <x v="0"/>
    <n v="1.6805701299650828"/>
    <n v="1579776"/>
    <n v="287232"/>
    <n v="0.18181818181818182"/>
    <n v="1.7100064543243534"/>
  </r>
  <r>
    <s v="P144"/>
    <x v="4"/>
    <x v="3"/>
    <n v="2019"/>
    <n v="12044258"/>
    <n v="16422069.17"/>
    <n v="29"/>
    <n v="21"/>
    <n v="4309"/>
    <n v="645397"/>
    <n v="270905"/>
    <n v="11972234"/>
    <n v="5.65"/>
    <s v="Short-term"/>
    <n v="1085868"/>
    <n v="0.27586206896551724"/>
    <n v="169566"/>
    <n v="676431.22100000002"/>
    <n v="11972234"/>
    <n v="0.25067737078918773"/>
    <n v="-506865.22100000002"/>
    <n v="169566"/>
    <n v="9.0156487846739922E-2"/>
    <n v="1.0325495419892937E-2"/>
    <n v="0.3775556094862797"/>
    <n v="0.82499999999999996"/>
    <x v="0"/>
    <n v="0.72903322206625443"/>
    <n v="1499532"/>
    <n v="413664"/>
    <n v="0.27586206896551724"/>
    <n v="1.5258122001719019"/>
  </r>
  <r>
    <s v="P126"/>
    <x v="0"/>
    <x v="1"/>
    <n v="2019"/>
    <n v="22440686"/>
    <n v="20341781.170000002"/>
    <n v="39"/>
    <n v="35"/>
    <n v="2210"/>
    <n v="534486"/>
    <n v="196101"/>
    <n v="12105450"/>
    <n v="5.55"/>
    <s v="Long-term"/>
    <n v="928200"/>
    <n v="0.10256410256410253"/>
    <n v="197613"/>
    <n v="671852.47499999998"/>
    <n v="12105450"/>
    <n v="0.29413153534933395"/>
    <n v="-474239.47499999998"/>
    <n v="197613"/>
    <n v="4.1362371898969574E-2"/>
    <n v="9.7146360168026517E-3"/>
    <n v="-8.4725209826473136E-2"/>
    <n v="3.3000000000000002E-2"/>
    <x v="1"/>
    <n v="0.59510275421962955"/>
    <n v="1034280"/>
    <n v="106080"/>
    <n v="0.10256410256410256"/>
    <n v="1.2395083049742732"/>
  </r>
  <r>
    <s v="P005"/>
    <x v="1"/>
    <x v="0"/>
    <n v="2012"/>
    <n v="19228439"/>
    <n v="18231908.149999999"/>
    <n v="28"/>
    <n v="22"/>
    <n v="5187"/>
    <n v="850550"/>
    <n v="470442"/>
    <n v="4704540"/>
    <n v="3.65"/>
    <s v="Short-term"/>
    <n v="1369368"/>
    <n v="0.2142857142857143"/>
    <n v="48376"/>
    <n v="171715.71"/>
    <n v="4704540"/>
    <n v="0.28172145693600198"/>
    <n v="-123339.70999999999"/>
    <n v="48376"/>
    <n v="7.1215765356719807E-2"/>
    <n v="2.6533701026790223E-3"/>
    <n v="-4.9310027194615302E-2"/>
    <n v="6.7000000000000004E-2"/>
    <x v="1"/>
    <n v="0.25803881641428739"/>
    <n v="1742832"/>
    <n v="373464"/>
    <n v="0.21428571428571427"/>
    <n v="1.2280075454889108"/>
  </r>
  <r>
    <s v="P124"/>
    <x v="1"/>
    <x v="0"/>
    <n v="2013"/>
    <n v="10037662"/>
    <n v="11543799.220000001"/>
    <n v="44"/>
    <n v="31"/>
    <n v="1994"/>
    <n v="321955"/>
    <n v="241619"/>
    <n v="10655410"/>
    <n v="5.05"/>
    <s v="Short-term"/>
    <n v="741768"/>
    <n v="0.29545454545454541"/>
    <n v="178194"/>
    <n v="466369.488488"/>
    <n v="9235039.3760000002"/>
    <n v="0.38208760306707984"/>
    <n v="-288175.488488"/>
    <n v="178194"/>
    <n v="7.3898483531324333E-2"/>
    <n v="1.5436339163910025E-2"/>
    <n v="0.16780114931146323"/>
    <n v="0.40899999999999997"/>
    <x v="0"/>
    <n v="0.92304186835986912"/>
    <n v="1052832"/>
    <n v="311064"/>
    <n v="0.29545454545454547"/>
    <n v="1.1802546340653808"/>
  </r>
  <r>
    <s v="P059"/>
    <x v="2"/>
    <x v="2"/>
    <n v="2010"/>
    <n v="14112132"/>
    <n v="15086928.84"/>
    <n v="58"/>
    <n v="40"/>
    <n v="1806"/>
    <n v="236601"/>
    <n v="365768"/>
    <n v="12024939"/>
    <n v="5.6"/>
    <s v="Short-term"/>
    <n v="866880"/>
    <n v="0.31034482758620685"/>
    <n v="264511"/>
    <n v="673396.58399999992"/>
    <n v="12024939"/>
    <n v="0.39280122038753917"/>
    <n v="-408885.58399999992"/>
    <n v="264511"/>
    <n v="6.1427996846968265E-2"/>
    <n v="1.7532461563595472E-2"/>
    <n v="8.7818611673983762E-2"/>
    <n v="0.308"/>
    <x v="0"/>
    <n v="0.79704352870799389"/>
    <n v="1256976"/>
    <n v="390096"/>
    <n v="0.31034482758620691"/>
    <n v="1.1269960709478475"/>
  </r>
  <r>
    <s v="P102"/>
    <x v="1"/>
    <x v="3"/>
    <n v="2020"/>
    <n v="5926551"/>
    <n v="5477928.7199999997"/>
    <n v="71"/>
    <n v="57"/>
    <n v="1573"/>
    <n v="422066"/>
    <n v="384077"/>
    <n v="13983693"/>
    <n v="5.79"/>
    <s v="Short-term"/>
    <n v="1075932"/>
    <n v="0.19718309859154926"/>
    <n v="269789"/>
    <n v="253737.6583104"/>
    <n v="4382342.9759999998"/>
    <n v="1.0632595957434281"/>
    <n v="16051.341689599998"/>
    <n v="269789"/>
    <n v="0.1815443754723447"/>
    <n v="4.925018447483559E-2"/>
    <n v="-3.01749331103369E-2"/>
    <n v="0.127"/>
    <x v="0"/>
    <n v="2.5527336544094354"/>
    <n v="1340196"/>
    <n v="264264"/>
    <n v="0.19718309859154928"/>
    <n v="1.1268445631746526"/>
  </r>
  <r>
    <s v="P061"/>
    <x v="3"/>
    <x v="2"/>
    <n v="2019"/>
    <n v="7493243"/>
    <n v="7321306.3099999996"/>
    <n v="41"/>
    <n v="40"/>
    <n v="2629"/>
    <n v="603713"/>
    <n v="477947"/>
    <n v="13691119"/>
    <n v="4.0999999999999996"/>
    <s v="Long-term"/>
    <n v="1261920"/>
    <n v="2.4390243902439046E-2"/>
    <n v="180260"/>
    <n v="240138.846968"/>
    <n v="5857045.0480000004"/>
    <n v="0.75064906105766704"/>
    <n v="-59878.846967999998"/>
    <n v="180260"/>
    <n v="0.16840772413226157"/>
    <n v="2.4621289202691483E-2"/>
    <n v="1.1107754012514462E-3"/>
    <n v="0.154"/>
    <x v="0"/>
    <n v="1.8700377255490079"/>
    <n v="1293468"/>
    <n v="31548"/>
    <n v="2.4390243902439025E-2"/>
    <n v="0.9704215486462926"/>
  </r>
  <r>
    <s v="P111"/>
    <x v="0"/>
    <x v="1"/>
    <n v="2016"/>
    <n v="12884163"/>
    <n v="13327580.630000001"/>
    <n v="60"/>
    <n v="45"/>
    <n v="1688"/>
    <n v="510363"/>
    <n v="206542"/>
    <n v="7246167"/>
    <n v="5.53"/>
    <s v="Long-term"/>
    <n v="911520"/>
    <n v="0.25"/>
    <n v="194615"/>
    <n v="400713.03510000004"/>
    <n v="7246167"/>
    <n v="0.48567174749239889"/>
    <n v="-206098.03510000004"/>
    <n v="194615"/>
    <n v="7.0747319790971291E-2"/>
    <n v="1.46024252565336E-2"/>
    <n v="4.9520689081626865E-2"/>
    <n v="0.20100000000000001"/>
    <x v="0"/>
    <n v="0.54369710461095144"/>
    <n v="1215360"/>
    <n v="303840"/>
    <n v="0.25"/>
    <n v="0.88081028766620295"/>
  </r>
  <r>
    <s v="P143"/>
    <x v="0"/>
    <x v="1"/>
    <n v="2020"/>
    <n v="5131150"/>
    <n v="5251723.41"/>
    <n v="57"/>
    <n v="42"/>
    <n v="4135"/>
    <n v="453835"/>
    <n v="438286"/>
    <n v="12882576"/>
    <n v="3.69"/>
    <s v="Long-term"/>
    <n v="2084040"/>
    <n v="0.26315789473684215"/>
    <n v="1191919"/>
    <n v="155030.87506320002"/>
    <n v="4201378.7280000001"/>
    <n v="7.688268543373062"/>
    <n v="1036888.1249368"/>
    <n v="1191919"/>
    <n v="0.40615456574062347"/>
    <n v="0.22695768740037281"/>
    <n v="0.25578913304035161"/>
    <n v="0.56999999999999995"/>
    <x v="0"/>
    <n v="2.453018751038909"/>
    <n v="2828340"/>
    <n v="744300"/>
    <n v="0.26315789473684209"/>
    <n v="0.88018927245019207"/>
  </r>
  <r>
    <s v="P082"/>
    <x v="4"/>
    <x v="1"/>
    <n v="2010"/>
    <n v="5016882"/>
    <n v="4520108.38"/>
    <n v="43"/>
    <n v="30"/>
    <n v="2409"/>
    <n v="491311"/>
    <n v="142175"/>
    <n v="7365453"/>
    <n v="5.58"/>
    <s v="Long-term"/>
    <n v="867240"/>
    <n v="0.30232558139534882"/>
    <n v="233754"/>
    <n v="201777.6380832"/>
    <n v="3616086.7039999999"/>
    <n v="1.1584732689933412"/>
    <n v="31976.3619168"/>
    <n v="233754"/>
    <n v="0.17286434083958921"/>
    <n v="5.1714246727862755E-2"/>
    <n v="-5.2426909781812712E-2"/>
    <n v="0.06"/>
    <x v="1"/>
    <n v="1.6294859283882923"/>
    <n v="1243044"/>
    <n v="375804"/>
    <n v="0.30232558139534882"/>
    <n v="0.86873753226767625"/>
  </r>
  <r>
    <s v="P100"/>
    <x v="3"/>
    <x v="0"/>
    <n v="2016"/>
    <n v="5300981"/>
    <n v="5096845.99"/>
    <n v="66"/>
    <n v="46"/>
    <n v="2414"/>
    <n v="221485"/>
    <n v="468962"/>
    <n v="11028997"/>
    <n v="4.57"/>
    <s v="Long-term"/>
    <n v="1332528"/>
    <n v="0.30303030303030298"/>
    <n v="642081"/>
    <n v="186340.68939440005"/>
    <n v="4077476.7920000004"/>
    <n v="3.445736956789943"/>
    <n v="455740.31060559995"/>
    <n v="642081"/>
    <n v="0.25137384948182234"/>
    <n v="0.12597614314024033"/>
    <n v="8.2616027108944598E-2"/>
    <n v="0.30199999999999999"/>
    <x v="0"/>
    <n v="2.1638866510070867"/>
    <n v="1911888"/>
    <n v="579360"/>
    <n v="0.30303030303030304"/>
    <n v="0.85744222029292927"/>
  </r>
  <r>
    <s v="P043"/>
    <x v="3"/>
    <x v="0"/>
    <n v="2014"/>
    <n v="10199496"/>
    <n v="12006384.73"/>
    <n v="31"/>
    <n v="21"/>
    <n v="5842"/>
    <n v="799466"/>
    <n v="206290"/>
    <n v="12755090"/>
    <n v="5.35"/>
    <s v="Long-term"/>
    <n v="1472184"/>
    <n v="0.32258064516129037"/>
    <n v="466428"/>
    <n v="513873.26644400001"/>
    <n v="9605107.784"/>
    <n v="0.90767126927555319"/>
    <n v="-47445.266444000008"/>
    <n v="466428"/>
    <n v="0.14433889674548625"/>
    <n v="3.8848330324993671E-2"/>
    <n v="0.2228852023668621"/>
    <n v="0.48299999999999998"/>
    <x v="0"/>
    <n v="1.0623589270906197"/>
    <n v="2173224"/>
    <n v="701040"/>
    <n v="0.32258064516129031"/>
    <n v="0.778256071443445"/>
  </r>
  <r>
    <s v="P012"/>
    <x v="1"/>
    <x v="1"/>
    <n v="2012"/>
    <n v="18706430"/>
    <n v="25323582.030000001"/>
    <n v="33"/>
    <n v="24"/>
    <n v="5327"/>
    <n v="486414"/>
    <n v="439525"/>
    <n v="14999242"/>
    <n v="6.39"/>
    <s v="Short-term"/>
    <n v="1534176"/>
    <n v="0.27272727272727271"/>
    <n v="608237"/>
    <n v="958451.5638"/>
    <n v="14999242"/>
    <n v="0.63460379530135624"/>
    <n v="-350214.5638"/>
    <n v="608237"/>
    <n v="8.2013297032090038E-2"/>
    <n v="2.4018600499701896E-2"/>
    <n v="0.38625162738160096"/>
    <n v="0.84499999999999997"/>
    <x v="0"/>
    <n v="0.59230333142566083"/>
    <n v="2109492"/>
    <n v="575316"/>
    <n v="0.27272727272727271"/>
    <n v="0.75951781432506116"/>
  </r>
  <r>
    <s v="P010"/>
    <x v="1"/>
    <x v="0"/>
    <n v="2016"/>
    <n v="6472531"/>
    <n v="8046324.8200000003"/>
    <n v="31"/>
    <n v="22"/>
    <n v="5558"/>
    <n v="563244"/>
    <n v="434211"/>
    <n v="12224206"/>
    <n v="3.54"/>
    <s v="Long-term"/>
    <n v="1467312"/>
    <n v="0.29032258064516125"/>
    <n v="469857"/>
    <n v="227871.91890240004"/>
    <n v="6437059.8560000006"/>
    <n v="2.0619346265357286"/>
    <n v="241985.08109759996"/>
    <n v="469857"/>
    <n v="0.22669833485540664"/>
    <n v="5.8393988623491835E-2"/>
    <n v="0.31574214476531676"/>
    <n v="0.70399999999999996"/>
    <x v="0"/>
    <n v="1.5192285016403302"/>
    <n v="2067576"/>
    <n v="600264"/>
    <n v="0.29032258064516131"/>
    <n v="0.71739201120545948"/>
  </r>
  <r>
    <s v="P033"/>
    <x v="1"/>
    <x v="1"/>
    <n v="2022"/>
    <n v="14140108"/>
    <n v="13120887.880000001"/>
    <n v="28"/>
    <n v="21"/>
    <n v="4945"/>
    <n v="481498"/>
    <n v="336564"/>
    <n v="10195631"/>
    <n v="5.23"/>
    <s v="Long-term"/>
    <n v="1246140"/>
    <n v="0.25"/>
    <n v="428078"/>
    <n v="533231.50130000012"/>
    <n v="10195631"/>
    <n v="0.80279953257892778"/>
    <n v="-105153.50130000012"/>
    <n v="428078"/>
    <n v="8.8128039757546406E-2"/>
    <n v="3.2625688437785808E-2"/>
    <n v="-4.1806054098030877E-2"/>
    <n v="7.2999999999999995E-2"/>
    <x v="1"/>
    <n v="0.77705343519786252"/>
    <n v="1661520"/>
    <n v="415380"/>
    <n v="0.25"/>
    <n v="0.70680832586535447"/>
  </r>
  <r>
    <s v="P084"/>
    <x v="1"/>
    <x v="1"/>
    <n v="2015"/>
    <n v="13517532"/>
    <n v="14089939.109999999"/>
    <n v="32"/>
    <n v="22"/>
    <n v="4907"/>
    <n v="584837"/>
    <n v="373690"/>
    <n v="7343308"/>
    <n v="5.99"/>
    <s v="Long-term"/>
    <n v="1295448"/>
    <n v="0.3125"/>
    <n v="336921"/>
    <n v="439864.14919999999"/>
    <n v="7343308"/>
    <n v="0.76596603886170955"/>
    <n v="-102943.14919999999"/>
    <n v="336921"/>
    <n v="9.5834653840656717E-2"/>
    <n v="2.3912168631082184E-2"/>
    <n v="6.7270276112532917E-2"/>
    <n v="0.248"/>
    <x v="0"/>
    <n v="0.52117386332693671"/>
    <n v="1884288"/>
    <n v="588840"/>
    <n v="0.3125"/>
    <n v="0.67301443223127211"/>
  </r>
  <r>
    <s v="P123"/>
    <x v="1"/>
    <x v="3"/>
    <n v="2011"/>
    <n v="5814811"/>
    <n v="7386393.0499999998"/>
    <n v="51"/>
    <n v="40"/>
    <n v="2447"/>
    <n v="212595"/>
    <n v="208207"/>
    <n v="10846421"/>
    <n v="5.84"/>
    <s v="Long-term"/>
    <n v="1174560"/>
    <n v="0.21568627450980393"/>
    <n v="753758"/>
    <n v="345092.28329600004"/>
    <n v="5909114.4400000004"/>
    <n v="2.1842215444541551"/>
    <n v="408665.71670399996"/>
    <n v="753758"/>
    <n v="0.20199452742316129"/>
    <n v="0.10204683055689813"/>
    <n v="0.39989950662196927"/>
    <n v="0.85899999999999999"/>
    <x v="0"/>
    <n v="1.4684326878597396"/>
    <n v="1497564"/>
    <n v="323004"/>
    <n v="0.21568627450980393"/>
    <n v="0.66415302090368367"/>
  </r>
  <r>
    <s v="P093"/>
    <x v="1"/>
    <x v="0"/>
    <n v="2016"/>
    <n v="7933523"/>
    <n v="8773658.1600000001"/>
    <n v="74"/>
    <n v="55"/>
    <n v="5525"/>
    <n v="253604"/>
    <n v="489093"/>
    <n v="14782621"/>
    <n v="5.08"/>
    <s v="Short-term"/>
    <n v="3646500"/>
    <n v="0.2567567567567568"/>
    <n v="2903803"/>
    <n v="356561.46762240003"/>
    <n v="7018926.5280000009"/>
    <n v="8.1439057881462915"/>
    <n v="2547241.5323775997"/>
    <n v="2903803"/>
    <n v="0.45963186846499343"/>
    <n v="0.33096833123026531"/>
    <n v="0.47191369584483467"/>
    <n v="0.93899999999999995"/>
    <x v="0"/>
    <n v="1.6848868203454144"/>
    <n v="4906200"/>
    <n v="1259700"/>
    <n v="0.25675675675675674"/>
    <n v="0.64500611011724251"/>
  </r>
  <r>
    <s v="P089"/>
    <x v="1"/>
    <x v="1"/>
    <n v="2021"/>
    <n v="11169035"/>
    <n v="10812573.98"/>
    <n v="57"/>
    <n v="56"/>
    <n v="1644"/>
    <n v="210104"/>
    <n v="368410"/>
    <n v="9578059"/>
    <n v="6.84"/>
    <s v="Short-term"/>
    <n v="1104768"/>
    <n v="1.7543859649122862E-2"/>
    <n v="526254"/>
    <n v="591664.04818560008"/>
    <n v="8650059.1840000004"/>
    <n v="0.88944731662133791"/>
    <n v="-65410.048185600084"/>
    <n v="526254"/>
    <n v="9.8913469247790875E-2"/>
    <n v="4.8670557165519615E-2"/>
    <n v="1.5202117282289871E-2"/>
    <n v="0.18099999999999999"/>
    <x v="0"/>
    <n v="0.88582598534969748"/>
    <n v="1124496"/>
    <n v="19728"/>
    <n v="1.7543859649122806E-2"/>
    <n v="0.61005344455388788"/>
  </r>
  <r>
    <s v="P064"/>
    <x v="0"/>
    <x v="3"/>
    <n v="2010"/>
    <n v="19922597"/>
    <n v="20596547.260000002"/>
    <n v="29"/>
    <n v="24"/>
    <n v="4394"/>
    <n v="514769"/>
    <n v="430552"/>
    <n v="8686885"/>
    <n v="4.82"/>
    <s v="Short-term"/>
    <n v="1265472"/>
    <n v="0.17241379310344829"/>
    <n v="320151"/>
    <n v="418707.85700000002"/>
    <n v="8686885"/>
    <n v="0.76461665251244615"/>
    <n v="-98556.857000000018"/>
    <n v="320151"/>
    <n v="6.3519429720934481E-2"/>
    <n v="1.5543915975749809E-2"/>
    <n v="4.9898176427500975E-2"/>
    <n v="0.20799999999999999"/>
    <x v="0"/>
    <n v="0.42176413795678097"/>
    <n v="1529112"/>
    <n v="263640"/>
    <n v="0.17241379310344829"/>
    <n v="0.58784823277030296"/>
  </r>
  <r>
    <s v="P127"/>
    <x v="0"/>
    <x v="2"/>
    <n v="2018"/>
    <n v="21005495"/>
    <n v="28321021.190000001"/>
    <n v="51"/>
    <n v="41"/>
    <n v="3508"/>
    <n v="876621"/>
    <n v="127962"/>
    <n v="12337587"/>
    <n v="7.22"/>
    <s v="Short-term"/>
    <n v="1725936"/>
    <n v="0.19607843137254899"/>
    <n v="721353"/>
    <n v="890773.78139999998"/>
    <n v="12337587"/>
    <n v="0.80980493034524781"/>
    <n v="-169420.78139999998"/>
    <n v="721353"/>
    <n v="8.2165928486807857E-2"/>
    <n v="2.5470585794226439E-2"/>
    <n v="0.38260841698803105"/>
    <n v="0.83799999999999997"/>
    <x v="0"/>
    <n v="0.43563354997793424"/>
    <n v="2146896"/>
    <n v="420960"/>
    <n v="0.19607843137254902"/>
    <n v="0.57958102448526971"/>
  </r>
  <r>
    <s v="P044"/>
    <x v="2"/>
    <x v="0"/>
    <n v="2017"/>
    <n v="22726540"/>
    <n v="23037762.039999999"/>
    <n v="51"/>
    <n v="43"/>
    <n v="2688"/>
    <n v="885597"/>
    <n v="234603"/>
    <n v="6415538"/>
    <n v="5.79"/>
    <s v="Short-term"/>
    <n v="1387008"/>
    <n v="0.15686274509803921"/>
    <n v="266808"/>
    <n v="371459.65019999997"/>
    <n v="6415538"/>
    <n v="0.71826913059425479"/>
    <n v="-104651.65019999997"/>
    <n v="266808"/>
    <n v="6.1030319617504471E-2"/>
    <n v="1.1581333270859672E-2"/>
    <n v="2.5434141756730196E-2"/>
    <n v="0.19400000000000001"/>
    <x v="0"/>
    <n v="0.27847921985047119"/>
    <n v="1645056"/>
    <n v="258048"/>
    <n v="0.15686274509803921"/>
    <n v="0.56395960497663644"/>
  </r>
  <r>
    <s v="P146"/>
    <x v="4"/>
    <x v="3"/>
    <n v="2022"/>
    <n v="15342555"/>
    <n v="14246984.529999999"/>
    <n v="31"/>
    <n v="26"/>
    <n v="5149"/>
    <n v="750173"/>
    <n v="227322"/>
    <n v="11409122"/>
    <n v="4.75"/>
    <s v="Short-term"/>
    <n v="1606488"/>
    <n v="0.16129032258064513"/>
    <n v="628993"/>
    <n v="541385.41214000003"/>
    <n v="11397587.624"/>
    <n v="1.1618211091312984"/>
    <n v="87607.587859999971"/>
    <n v="628993"/>
    <n v="0.10470798377454081"/>
    <n v="4.414920214698935E-2"/>
    <n v="-3.0410676057540654E-2"/>
    <n v="0.12"/>
    <x v="0"/>
    <n v="0.80080960121601263"/>
    <n v="1915428"/>
    <n v="308940"/>
    <n v="0.16129032258064516"/>
    <n v="0.56297432123995994"/>
  </r>
  <r>
    <s v="P032"/>
    <x v="1"/>
    <x v="3"/>
    <n v="2021"/>
    <n v="9823711"/>
    <n v="12396860.949999999"/>
    <n v="37"/>
    <n v="32"/>
    <n v="5368"/>
    <n v="889428"/>
    <n v="327675"/>
    <n v="14159549"/>
    <n v="4.33"/>
    <s v="Short-term"/>
    <n v="2061312"/>
    <n v="0.13513513513513509"/>
    <n v="844209"/>
    <n v="429427.26330799999"/>
    <n v="9917488.7599999998"/>
    <n v="1.9658952100451625"/>
    <n v="414781.73669200001"/>
    <n v="844209"/>
    <n v="0.20983027696967063"/>
    <n v="6.8098610075964433E-2"/>
    <n v="0.34786843281525681"/>
    <n v="0.77800000000000002"/>
    <x v="0"/>
    <n v="1.1421882569393504"/>
    <n v="2383392"/>
    <n v="322080"/>
    <n v="0.13513513513513514"/>
    <n v="0.54931276469697976"/>
  </r>
  <r>
    <s v="P052"/>
    <x v="4"/>
    <x v="2"/>
    <n v="2014"/>
    <n v="6039364"/>
    <n v="8339446.4299999997"/>
    <n v="38"/>
    <n v="31"/>
    <n v="3658"/>
    <n v="202644"/>
    <n v="484884"/>
    <n v="7489436"/>
    <n v="6.78"/>
    <s v="Short-term"/>
    <n v="1360776"/>
    <n v="0.18421052631578949"/>
    <n v="673248"/>
    <n v="452331.57436319999"/>
    <n v="6671557.1440000003"/>
    <n v="1.4883948814491004"/>
    <n v="220916.42563680001"/>
    <n v="673248"/>
    <n v="0.22531776524812877"/>
    <n v="8.073053836979921E-2"/>
    <n v="0.49232509085393755"/>
    <n v="0.95299999999999996"/>
    <x v="0"/>
    <n v="0.89807351877191688"/>
    <n v="1668048"/>
    <n v="307272"/>
    <n v="0.18421052631578946"/>
    <n v="0.54466568008702243"/>
  </r>
  <r>
    <s v="P150"/>
    <x v="2"/>
    <x v="3"/>
    <n v="2020"/>
    <n v="11052185"/>
    <n v="12390757.76"/>
    <n v="63"/>
    <n v="44"/>
    <n v="3576"/>
    <n v="246032"/>
    <n v="258020"/>
    <n v="12174900"/>
    <n v="5.64"/>
    <s v="Short-term"/>
    <n v="1888128"/>
    <n v="0.30158730158730163"/>
    <n v="1384076"/>
    <n v="559070.99013120006"/>
    <n v="9912606.2080000006"/>
    <n v="2.4756712911810927"/>
    <n v="825005.00986879994"/>
    <n v="1384076"/>
    <n v="0.17083753122120196"/>
    <n v="0.11170228865809091"/>
    <n v="0.24634484131418355"/>
    <n v="0.55000000000000004"/>
    <x v="0"/>
    <n v="0.9825791316252801"/>
    <n v="2703456"/>
    <n v="815328"/>
    <n v="0.30158730158730157"/>
    <n v="0.53658791403584472"/>
  </r>
  <r>
    <s v="P149"/>
    <x v="2"/>
    <x v="3"/>
    <n v="2018"/>
    <n v="6398924"/>
    <n v="8941674.2100000009"/>
    <n v="49"/>
    <n v="34"/>
    <n v="4433"/>
    <n v="488273"/>
    <n v="259540"/>
    <n v="9832692"/>
    <n v="3.89"/>
    <s v="Long-term"/>
    <n v="1808664"/>
    <n v="0.30612244897959184"/>
    <n v="1060851"/>
    <n v="278264.90141520003"/>
    <n v="7153339.3680000007"/>
    <n v="3.8123780419475199"/>
    <n v="782586.09858480003"/>
    <n v="1060851"/>
    <n v="0.28265127074489399"/>
    <n v="0.11864120466540683"/>
    <n v="0.56315736989531384"/>
    <n v="0.97899999999999998"/>
    <x v="0"/>
    <n v="1.0996477582468305"/>
    <n v="2606604"/>
    <n v="797940"/>
    <n v="0.30612244897959184"/>
    <n v="0.53103434890358037"/>
  </r>
  <r>
    <s v="P029"/>
    <x v="3"/>
    <x v="3"/>
    <n v="2019"/>
    <n v="6293742"/>
    <n v="6398156.9299999997"/>
    <n v="18"/>
    <n v="15"/>
    <n v="5906"/>
    <n v="296117"/>
    <n v="101551"/>
    <n v="7068835"/>
    <n v="5.27"/>
    <s v="Short-term"/>
    <n v="1063080"/>
    <n v="0.16666666666666663"/>
    <n v="665412"/>
    <n v="269746.29616879998"/>
    <n v="5118525.5439999998"/>
    <n v="2.4668068086599533"/>
    <n v="395665.70383120002"/>
    <n v="665412"/>
    <n v="0.16891064171362602"/>
    <n v="0.10400057505310362"/>
    <n v="0.12231625160357697"/>
    <n v="0.35499999999999998"/>
    <x v="0"/>
    <n v="1.1048236355152983"/>
    <n v="1275696"/>
    <n v="212616"/>
    <n v="0.16666666666666666"/>
    <n v="0.51972846948550921"/>
  </r>
  <r>
    <s v="P020"/>
    <x v="0"/>
    <x v="2"/>
    <n v="2015"/>
    <n v="12853968"/>
    <n v="11880073.08"/>
    <n v="70"/>
    <n v="63"/>
    <n v="1857"/>
    <n v="200614"/>
    <n v="121391"/>
    <n v="13569156"/>
    <n v="5"/>
    <s v="Long-term"/>
    <n v="1403892"/>
    <n v="9.9999999999999978E-2"/>
    <n v="1081887"/>
    <n v="475202.92320000002"/>
    <n v="9504058.4639999997"/>
    <n v="2.2766842272657128"/>
    <n v="606684.07679999992"/>
    <n v="1081887"/>
    <n v="0.10921856970547927"/>
    <n v="9.1067369090628528E-2"/>
    <n v="8.4014586001770093E-3"/>
    <n v="0.16700000000000001"/>
    <x v="0"/>
    <n v="1.1421778223606684"/>
    <n v="1559880"/>
    <n v="155988"/>
    <n v="0.1"/>
    <n v="0.51442392622343636"/>
  </r>
  <r>
    <s v="P063"/>
    <x v="2"/>
    <x v="2"/>
    <n v="2019"/>
    <n v="12953359"/>
    <n v="16648662.039999999"/>
    <n v="45"/>
    <n v="36"/>
    <n v="3461"/>
    <n v="307161"/>
    <n v="225329"/>
    <n v="13701751"/>
    <n v="4.4800000000000004"/>
    <s v="Long-term"/>
    <n v="1495152"/>
    <n v="0.19999999999999996"/>
    <n v="962662"/>
    <n v="596688.04751360009"/>
    <n v="13318929.631999999"/>
    <n v="1.6133421877837404"/>
    <n v="365973.95248639991"/>
    <n v="962662"/>
    <n v="0.11542581348976741"/>
    <n v="5.7822184010169267E-2"/>
    <n v="0.35959514748259497"/>
    <n v="0.81799999999999995"/>
    <x v="0"/>
    <n v="0.82299412211505263"/>
    <n v="1868940"/>
    <n v="373788"/>
    <n v="0.2"/>
    <n v="0.51284762931240269"/>
  </r>
  <r>
    <s v="P037"/>
    <x v="0"/>
    <x v="0"/>
    <n v="2016"/>
    <n v="9743914"/>
    <n v="10744404.130000001"/>
    <n v="33"/>
    <n v="25"/>
    <n v="5476"/>
    <n v="419138"/>
    <n v="189185"/>
    <n v="10129004"/>
    <n v="4.8"/>
    <s v="Long-term"/>
    <n v="1642800"/>
    <n v="0.24242424242424243"/>
    <n v="1034477"/>
    <n v="412585.1185920001"/>
    <n v="8595523.3040000014"/>
    <n v="2.5073056525409498"/>
    <n v="621891.8814079999"/>
    <n v="1034477"/>
    <n v="0.16859754714583894"/>
    <n v="9.6280537057572488E-2"/>
    <n v="0.20884493951814442"/>
    <n v="0.46300000000000002"/>
    <x v="0"/>
    <n v="0.94272366130740459"/>
    <n v="2168496"/>
    <n v="525696"/>
    <n v="0.24242424242424243"/>
    <n v="0.49943714580721588"/>
  </r>
  <r>
    <s v="P071"/>
    <x v="3"/>
    <x v="3"/>
    <n v="2021"/>
    <n v="22328522"/>
    <n v="28667613.789999999"/>
    <n v="22"/>
    <n v="20"/>
    <n v="4938"/>
    <n v="477929"/>
    <n v="172601"/>
    <n v="12051312"/>
    <n v="4.88"/>
    <s v="Long-term"/>
    <n v="1185120"/>
    <n v="9.0909090909090939E-2"/>
    <n v="534590"/>
    <n v="588104.02559999994"/>
    <n v="12051312"/>
    <n v="0.90900585054590732"/>
    <n v="-53514.025599999935"/>
    <n v="534590"/>
    <n v="5.3076509049725724E-2"/>
    <n v="1.8647872261572003E-2"/>
    <n v="0.30784311608264975"/>
    <n v="0.69099999999999995"/>
    <x v="0"/>
    <n v="0.42038071561448925"/>
    <n v="1303632"/>
    <n v="118512"/>
    <n v="9.0909090909090912E-2"/>
    <n v="0.49250873018900709"/>
  </r>
  <r>
    <s v="P076"/>
    <x v="3"/>
    <x v="2"/>
    <n v="2022"/>
    <n v="6783384"/>
    <n v="7466662.9299999997"/>
    <n v="45"/>
    <n v="44"/>
    <n v="3056"/>
    <n v="370657"/>
    <n v="292775"/>
    <n v="8795798"/>
    <n v="6.47"/>
    <s v="Long-term"/>
    <n v="1613568"/>
    <n v="2.2222222222222254E-2"/>
    <n v="950136"/>
    <n v="386474.47325679997"/>
    <n v="5973330.3440000005"/>
    <n v="2.4584702632317579"/>
    <n v="563661.52674320003"/>
    <n v="950136"/>
    <n v="0.23787065570812443"/>
    <n v="0.12725042082487578"/>
    <n v="0.24079647120080475"/>
    <n v="0.53600000000000003"/>
    <x v="0"/>
    <n v="1.1780092502448078"/>
    <n v="1650240"/>
    <n v="36672"/>
    <n v="2.2222222222222223E-2"/>
    <n v="0.48431876532154716"/>
  </r>
  <r>
    <s v="P042"/>
    <x v="0"/>
    <x v="3"/>
    <n v="2017"/>
    <n v="6146954"/>
    <n v="8530117.2699999996"/>
    <n v="77"/>
    <n v="67"/>
    <n v="4699"/>
    <n v="477082"/>
    <n v="421243"/>
    <n v="11283452"/>
    <n v="4.84"/>
    <s v="Long-term"/>
    <n v="3777996"/>
    <n v="0.12987012987012991"/>
    <n v="2879671"/>
    <n v="330286.14069439995"/>
    <n v="6824093.8159999996"/>
    <n v="8.7187158200029948"/>
    <n v="2549384.8593056002"/>
    <n v="2879671"/>
    <n v="0.61461270085964526"/>
    <n v="0.33758867655051594"/>
    <n v="0.85616945726289795"/>
    <n v="1"/>
    <x v="0"/>
    <n v="1.3227780630500054"/>
    <n v="4341876"/>
    <n v="563880"/>
    <n v="0.12987012987012986"/>
    <n v="0.48319020790569489"/>
  </r>
  <r>
    <s v="P031"/>
    <x v="3"/>
    <x v="2"/>
    <n v="2019"/>
    <n v="8128077"/>
    <n v="9693403.1600000001"/>
    <n v="57"/>
    <n v="54"/>
    <n v="5212"/>
    <n v="809751"/>
    <n v="451690"/>
    <n v="12578218"/>
    <n v="4.43"/>
    <s v="Long-term"/>
    <n v="3377376"/>
    <n v="5.2631578947368474E-2"/>
    <n v="2115935"/>
    <n v="343534.20799040003"/>
    <n v="7754722.5280000009"/>
    <n v="6.1593138347932133"/>
    <n v="1772400.7920096"/>
    <n v="2115935"/>
    <n v="0.41551968565258424"/>
    <n v="0.21828608230507149"/>
    <n v="0.45290677733490964"/>
    <n v="0.91200000000000003"/>
    <x v="0"/>
    <n v="1.2976059895975687"/>
    <n v="3565008"/>
    <n v="187632"/>
    <n v="5.2631578947368418E-2"/>
    <n v="0.45904115262371459"/>
  </r>
  <r>
    <s v="P128"/>
    <x v="2"/>
    <x v="0"/>
    <n v="2021"/>
    <n v="14562720"/>
    <n v="16290353.35"/>
    <n v="65"/>
    <n v="48"/>
    <n v="5954"/>
    <n v="584873"/>
    <n v="357730"/>
    <n v="12907155"/>
    <n v="7.23"/>
    <s v="Short-term"/>
    <n v="3429504"/>
    <n v="0.2615384615384615"/>
    <n v="2486901"/>
    <n v="933187.30650000006"/>
    <n v="12907155"/>
    <n v="2.6649537372377448"/>
    <n v="1553713.6935000001"/>
    <n v="2486901"/>
    <n v="0.23549886284979729"/>
    <n v="0.15266096115711328"/>
    <n v="0.28940571198237691"/>
    <n v="0.65100000000000002"/>
    <x v="0"/>
    <n v="0.79231890939922434"/>
    <n v="4644120"/>
    <n v="1214616"/>
    <n v="0.26153846153846155"/>
    <n v="0.45488336809408042"/>
  </r>
  <r>
    <s v="P086"/>
    <x v="0"/>
    <x v="3"/>
    <n v="2021"/>
    <n v="11002318"/>
    <n v="12157590.68"/>
    <n v="80"/>
    <n v="66"/>
    <n v="2245"/>
    <n v="684469"/>
    <n v="354192"/>
    <n v="8293939"/>
    <n v="5.32"/>
    <s v="Short-term"/>
    <n v="1778040"/>
    <n v="0.17500000000000004"/>
    <n v="739379"/>
    <n v="441237.55480000004"/>
    <n v="8293939"/>
    <n v="1.6756937208917737"/>
    <n v="298141.44519999996"/>
    <n v="739379"/>
    <n v="0.16160594521990729"/>
    <n v="6.0816243897429852E-2"/>
    <n v="0.17220477357589553"/>
    <n v="0.42199999999999999"/>
    <x v="0"/>
    <n v="0.68220252008023685"/>
    <n v="2155200"/>
    <n v="377160"/>
    <n v="0.17499999999999999"/>
    <n v="0.45369108612541287"/>
  </r>
  <r>
    <s v="P068"/>
    <x v="2"/>
    <x v="0"/>
    <n v="2022"/>
    <n v="14295030"/>
    <n v="13714409.609999999"/>
    <n v="80"/>
    <n v="67"/>
    <n v="4862"/>
    <n v="413752"/>
    <n v="363363"/>
    <n v="14978610"/>
    <n v="5.77"/>
    <s v="Short-term"/>
    <n v="3909048"/>
    <n v="0.16249999999999998"/>
    <n v="3131933"/>
    <n v="633057.14759760001"/>
    <n v="10971527.688000001"/>
    <n v="4.9473148070208657"/>
    <n v="2498875.8524024002"/>
    <n v="3131933"/>
    <n v="0.27345503996843656"/>
    <n v="0.22836805149208317"/>
    <n v="0.17847549882721472"/>
    <n v="0.42899999999999999"/>
    <x v="0"/>
    <n v="1.0921804456735926"/>
    <n v="4667520"/>
    <n v="758472"/>
    <n v="0.16250000000000001"/>
    <n v="0.45329308871142188"/>
  </r>
  <r>
    <s v="P066"/>
    <x v="3"/>
    <x v="3"/>
    <n v="2019"/>
    <n v="6326217"/>
    <n v="6445338.5499999998"/>
    <n v="48"/>
    <n v="45"/>
    <n v="3660"/>
    <n v="211569"/>
    <n v="388337"/>
    <n v="8023111"/>
    <n v="4.68"/>
    <s v="Short-term"/>
    <n v="1976400"/>
    <n v="6.25E-2"/>
    <n v="1376494"/>
    <n v="241313.47531199997"/>
    <n v="5156270.84"/>
    <n v="5.7041737856549366"/>
    <n v="1135180.5246880001"/>
    <n v="1376494"/>
    <n v="0.31241419635146883"/>
    <n v="0.2135642665349208"/>
    <n v="0.236415467569323"/>
    <n v="0.53"/>
    <x v="0"/>
    <n v="1.2447927968035131"/>
    <n v="2108160"/>
    <n v="131760"/>
    <n v="6.25E-2"/>
    <n v="0.45103090707738391"/>
  </r>
  <r>
    <s v="P099"/>
    <x v="2"/>
    <x v="3"/>
    <n v="2013"/>
    <n v="14710664"/>
    <n v="19589619.300000001"/>
    <n v="35"/>
    <n v="32"/>
    <n v="3530"/>
    <n v="590438"/>
    <n v="494404"/>
    <n v="5524639"/>
    <n v="5.32"/>
    <s v="Long-term"/>
    <n v="1355520"/>
    <n v="8.5714285714285743E-2"/>
    <n v="270678"/>
    <n v="293910.79480000003"/>
    <n v="5524639"/>
    <n v="0.9209529040408011"/>
    <n v="-23232.794800000032"/>
    <n v="270678"/>
    <n v="9.2145398739309117E-2"/>
    <n v="1.3817420127199715E-2"/>
    <n v="0.35006124128727301"/>
    <n v="0.78500000000000003"/>
    <x v="0"/>
    <n v="0.28201870160896897"/>
    <n v="1482600"/>
    <n v="127080"/>
    <n v="8.5714285714285715E-2"/>
    <n v="0.44464088121554879"/>
  </r>
  <r>
    <s v="P083"/>
    <x v="3"/>
    <x v="1"/>
    <n v="2015"/>
    <n v="17831225"/>
    <n v="23276573.989999998"/>
    <n v="48"/>
    <n v="33"/>
    <n v="4617"/>
    <n v="510137"/>
    <n v="432581"/>
    <n v="11481316"/>
    <n v="3.83"/>
    <s v="Short-term"/>
    <n v="1828332"/>
    <n v="0.3125"/>
    <n v="885614"/>
    <n v="439734.40279999998"/>
    <n v="11481316"/>
    <n v="2.0139747865094719"/>
    <n v="445879.59720000002"/>
    <n v="885614"/>
    <n v="0.10253541189682705"/>
    <n v="3.8047437753531706E-2"/>
    <n v="0.35504924591552167"/>
    <n v="0.79800000000000004"/>
    <x v="0"/>
    <n v="0.49325626722096488"/>
    <n v="2659392"/>
    <n v="831060"/>
    <n v="0.3125"/>
    <n v="0.42193604391031336"/>
  </r>
  <r>
    <s v="P078"/>
    <x v="2"/>
    <x v="1"/>
    <n v="2015"/>
    <n v="19017813"/>
    <n v="22877988.539999999"/>
    <n v="73"/>
    <n v="51"/>
    <n v="5004"/>
    <n v="894710"/>
    <n v="132660"/>
    <n v="14472139"/>
    <n v="4.9400000000000004"/>
    <s v="Long-term"/>
    <n v="3062448"/>
    <n v="0.30136986301369861"/>
    <n v="2035078"/>
    <n v="714923.66660000011"/>
    <n v="14472139"/>
    <n v="2.8465668365384054"/>
    <n v="1320154.3333999999"/>
    <n v="2035078"/>
    <n v="0.16103050334967539"/>
    <n v="8.8953536996570243E-2"/>
    <n v="0.30998588218319317"/>
    <n v="0.69699999999999995"/>
    <x v="0"/>
    <n v="0.63257916991683227"/>
    <n v="4383504"/>
    <n v="1321056"/>
    <n v="0.30136986301369861"/>
    <n v="0.41571180898210236"/>
  </r>
  <r>
    <s v="P138"/>
    <x v="2"/>
    <x v="2"/>
    <n v="2011"/>
    <n v="11457870"/>
    <n v="10956826.34"/>
    <n v="42"/>
    <n v="41"/>
    <n v="3798"/>
    <n v="443616"/>
    <n v="211393"/>
    <n v="9611746"/>
    <n v="6.08"/>
    <s v="Long-term"/>
    <n v="1868616"/>
    <n v="2.3809523809523836E-2"/>
    <n v="1213607"/>
    <n v="532940.03317760001"/>
    <n v="8765461.0720000006"/>
    <n v="2.2771924127448138"/>
    <n v="680666.96682239999"/>
    <n v="1213607"/>
    <n v="0.16308580914253695"/>
    <n v="0.11076263895590774"/>
    <n v="6.2189860768188138E-2"/>
    <n v="0.24099999999999999"/>
    <x v="0"/>
    <n v="0.87723814375979237"/>
    <n v="1914192"/>
    <n v="45576"/>
    <n v="2.3809523809523808E-2"/>
    <n v="0.40443642582665479"/>
  </r>
  <r>
    <s v="P106"/>
    <x v="0"/>
    <x v="1"/>
    <n v="2012"/>
    <n v="7052398"/>
    <n v="8390238.9199999999"/>
    <n v="68"/>
    <n v="64"/>
    <n v="4705"/>
    <n v="343709"/>
    <n v="113500"/>
    <n v="9611570"/>
    <n v="4.08"/>
    <s v="Short-term"/>
    <n v="3613440"/>
    <n v="5.8823529411764719E-2"/>
    <n v="3156231"/>
    <n v="273857.39834880002"/>
    <n v="6712191.1359999999"/>
    <n v="11.525089404303946"/>
    <n v="2882373.6016512001"/>
    <n v="3156231"/>
    <n v="0.51237040223765018"/>
    <n v="0.3761789181564808"/>
    <n v="0.63724025785271898"/>
    <n v="0.98599999999999999"/>
    <x v="0"/>
    <n v="1.1455657093493115"/>
    <n v="3839280"/>
    <n v="225840"/>
    <n v="5.8823529411764705E-2"/>
    <n v="0.39322929140603313"/>
  </r>
  <r>
    <s v="P145"/>
    <x v="3"/>
    <x v="3"/>
    <n v="2015"/>
    <n v="18452720"/>
    <n v="18845563.27"/>
    <n v="63"/>
    <n v="46"/>
    <n v="5472"/>
    <n v="349321"/>
    <n v="209550"/>
    <n v="13974624"/>
    <n v="3.53"/>
    <s v="Short-term"/>
    <n v="3020544"/>
    <n v="0.26984126984126988"/>
    <n v="2461673"/>
    <n v="493304.22719999996"/>
    <n v="13974624"/>
    <n v="4.9901721174628531"/>
    <n v="1968368.7727999999"/>
    <n v="2461673"/>
    <n v="0.16369098972942742"/>
    <n v="0.13062347698138077"/>
    <n v="0.15469352323126345"/>
    <n v="0.38200000000000001"/>
    <x v="0"/>
    <n v="0.74153389844526518"/>
    <n v="4136832"/>
    <n v="1116288"/>
    <n v="0.26984126984126983"/>
    <n v="0.39051484432653022"/>
  </r>
  <r>
    <s v="P014"/>
    <x v="3"/>
    <x v="3"/>
    <n v="2017"/>
    <n v="9390601"/>
    <n v="10750206.66"/>
    <n v="31"/>
    <n v="27"/>
    <n v="4666"/>
    <n v="504552"/>
    <n v="192829"/>
    <n v="7517159"/>
    <n v="4.6399999999999997"/>
    <s v="Short-term"/>
    <n v="1511784"/>
    <n v="0.12903225806451613"/>
    <n v="814403"/>
    <n v="348796.1776"/>
    <n v="7517159"/>
    <n v="2.3348965737060303"/>
    <n v="465606.8224"/>
    <n v="814403"/>
    <n v="0.16098905703692448"/>
    <n v="7.5756962238714767E-2"/>
    <n v="0.2315090013940535"/>
    <n v="0.51"/>
    <x v="0"/>
    <n v="0.6992571620013861"/>
    <n v="1735752"/>
    <n v="223968"/>
    <n v="0.12903225806451613"/>
    <n v="0.38987540033304258"/>
  </r>
  <r>
    <s v="P018"/>
    <x v="3"/>
    <x v="3"/>
    <n v="2021"/>
    <n v="16974452"/>
    <n v="18612125.370000001"/>
    <n v="68"/>
    <n v="47"/>
    <n v="5669"/>
    <n v="759669"/>
    <n v="354593"/>
    <n v="9707748"/>
    <n v="7.46"/>
    <s v="Long-term"/>
    <n v="3197316"/>
    <n v="0.30882352941176472"/>
    <n v="2083054"/>
    <n v="724198.00080000004"/>
    <n v="9707748"/>
    <n v="2.8763597768827198"/>
    <n v="1358855.9992"/>
    <n v="2083054"/>
    <n v="0.18836048433257227"/>
    <n v="0.11191919023700407"/>
    <n v="0.21919572838050977"/>
    <n v="0.47599999999999998"/>
    <x v="0"/>
    <n v="0.52158191539196574"/>
    <n v="4625904"/>
    <n v="1428588"/>
    <n v="0.30882352941176472"/>
    <n v="0.38430248283990065"/>
  </r>
  <r>
    <s v="P004"/>
    <x v="2"/>
    <x v="1"/>
    <n v="2021"/>
    <n v="24339312"/>
    <n v="26140953.170000002"/>
    <n v="77"/>
    <n v="70"/>
    <n v="1858"/>
    <n v="272524"/>
    <n v="325739"/>
    <n v="11553751"/>
    <n v="5.75"/>
    <s v="Long-term"/>
    <n v="1560720"/>
    <n v="9.0909090909090939E-2"/>
    <n v="962457"/>
    <n v="664340.6825"/>
    <n v="11553751"/>
    <n v="1.4487401198706509"/>
    <n v="298116.3175"/>
    <n v="962457"/>
    <n v="6.4123423044989927E-2"/>
    <n v="3.6817976519101805E-2"/>
    <n v="0.11356517267209533"/>
    <n v="0.34200000000000003"/>
    <x v="0"/>
    <n v="0.44197894869646021"/>
    <n v="1716792"/>
    <n v="156072"/>
    <n v="9.0909090909090912E-2"/>
    <n v="0.3760337978956993"/>
  </r>
  <r>
    <s v="P041"/>
    <x v="4"/>
    <x v="1"/>
    <n v="2016"/>
    <n v="9065241"/>
    <n v="12275543.91"/>
    <n v="54"/>
    <n v="52"/>
    <n v="2895"/>
    <n v="813112"/>
    <n v="368410"/>
    <n v="6219587"/>
    <n v="6.87"/>
    <s v="Long-term"/>
    <n v="1806480"/>
    <n v="3.703703703703709E-2"/>
    <n v="624958"/>
    <n v="427285.62689999997"/>
    <n v="6219587"/>
    <n v="1.4626235020684708"/>
    <n v="197672.37310000003"/>
    <n v="624958"/>
    <n v="0.19927545224666393"/>
    <n v="5.091081947830367E-2"/>
    <n v="0.42307324317136191"/>
    <n v="0.89200000000000002"/>
    <x v="0"/>
    <n v="0.50666488145860089"/>
    <n v="1875960"/>
    <n v="69480"/>
    <n v="3.7037037037037035E-2"/>
    <n v="0.37192516361582428"/>
  </r>
  <r>
    <s v="P072"/>
    <x v="3"/>
    <x v="2"/>
    <n v="2012"/>
    <n v="23147058"/>
    <n v="30423002.379999999"/>
    <n v="68"/>
    <n v="53"/>
    <n v="2650"/>
    <n v="499229"/>
    <n v="411343"/>
    <n v="11554608"/>
    <n v="3.54"/>
    <s v="Short-term"/>
    <n v="1685400"/>
    <n v="0.22058823529411764"/>
    <n v="774828"/>
    <n v="409033.12320000003"/>
    <n v="11554608"/>
    <n v="1.894291577020137"/>
    <n v="365794.87679999997"/>
    <n v="774828"/>
    <n v="7.2812709070846068E-2"/>
    <n v="2.5468492238930693E-2"/>
    <n v="0.34780974670733528"/>
    <n v="0.77100000000000002"/>
    <x v="0"/>
    <n v="0.37979841225650918"/>
    <n v="2162400"/>
    <n v="477000"/>
    <n v="0.22058823529411764"/>
    <n v="0.36054536836840456"/>
  </r>
  <r>
    <s v="P091"/>
    <x v="4"/>
    <x v="1"/>
    <n v="2021"/>
    <n v="7165504"/>
    <n v="8493731.9800000004"/>
    <n v="46"/>
    <n v="44"/>
    <n v="4146"/>
    <n v="451063"/>
    <n v="207717"/>
    <n v="8018817"/>
    <n v="4.2300000000000004"/>
    <s v="Long-term"/>
    <n v="2189088"/>
    <n v="4.3478260869565188E-2"/>
    <n v="1530308"/>
    <n v="287427.89020320005"/>
    <n v="6794985.5840000007"/>
    <n v="5.3241458193849365"/>
    <n v="1242880.1097968"/>
    <n v="1530308"/>
    <n v="0.30550370218200978"/>
    <n v="0.18016909452798627"/>
    <n v="0.39893020504907967"/>
    <n v="0.85199999999999998"/>
    <x v="0"/>
    <n v="0.94408641794699055"/>
    <n v="2288592"/>
    <n v="99504"/>
    <n v="4.3478260869565216E-2"/>
    <n v="0.35696429650603667"/>
  </r>
  <r>
    <s v="P142"/>
    <x v="3"/>
    <x v="3"/>
    <n v="2016"/>
    <n v="5969384"/>
    <n v="8314584.7199999997"/>
    <n v="10"/>
    <n v="7"/>
    <n v="3228"/>
    <n v="775923"/>
    <n v="106926"/>
    <n v="12471358"/>
    <n v="6.64"/>
    <s v="Long-term"/>
    <n v="271152"/>
    <n v="0.30000000000000004"/>
    <n v="-611697"/>
    <n v="441670.74032640003"/>
    <n v="6651667.7760000005"/>
    <n v="-1.3849615655951049"/>
    <n v="-1053367.7403263999"/>
    <n v="-611697"/>
    <n v="4.5423782420430651E-2"/>
    <n v="-7.3569158364411982E-2"/>
    <n v="0.29039909645618373"/>
    <n v="0.66400000000000003"/>
    <x v="0"/>
    <n v="1.4999375699427595"/>
    <n v="387360"/>
    <n v="116208"/>
    <n v="0.3"/>
    <n v="0.3533687616883241"/>
  </r>
  <r>
    <s v="P075"/>
    <x v="4"/>
    <x v="3"/>
    <n v="2018"/>
    <n v="19165442"/>
    <n v="22465220.309999999"/>
    <n v="28"/>
    <n v="25"/>
    <n v="5809"/>
    <n v="573517"/>
    <n v="488698"/>
    <n v="8650910"/>
    <n v="5.0999999999999996"/>
    <s v="Short-term"/>
    <n v="1742700"/>
    <n v="0.1071428571428571"/>
    <n v="680485"/>
    <n v="441196.41"/>
    <n v="8650910"/>
    <n v="1.5423629580304157"/>
    <n v="239288.59000000003"/>
    <n v="680485"/>
    <n v="9.0929288247043813E-2"/>
    <n v="3.0290599896636405E-2"/>
    <n v="0.20767918162283963"/>
    <n v="0.45600000000000002"/>
    <x v="0"/>
    <n v="0.38508013189388574"/>
    <n v="1951824"/>
    <n v="209124"/>
    <n v="0.10714285714285714"/>
    <n v="0.35288792834917171"/>
  </r>
  <r>
    <s v="P108"/>
    <x v="2"/>
    <x v="1"/>
    <n v="2015"/>
    <n v="18058310"/>
    <n v="17382701.050000001"/>
    <n v="54"/>
    <n v="46"/>
    <n v="3351"/>
    <n v="548876"/>
    <n v="341003"/>
    <n v="7218991"/>
    <n v="7.39"/>
    <s v="Long-term"/>
    <n v="1849752"/>
    <n v="0.14814814814814814"/>
    <n v="959873"/>
    <n v="533483.43489999999"/>
    <n v="7218991"/>
    <n v="1.7992554917472283"/>
    <n v="426389.56510000001"/>
    <n v="959873"/>
    <n v="0.10243217665440454"/>
    <n v="5.5220014268150805E-2"/>
    <n v="1.5741453657623593E-2"/>
    <n v="0.187"/>
    <x v="0"/>
    <n v="0.41529742582784623"/>
    <n v="2171448"/>
    <n v="321696"/>
    <n v="0.14814814814814814"/>
    <n v="0.35058411814839952"/>
  </r>
  <r>
    <s v="P057"/>
    <x v="3"/>
    <x v="2"/>
    <n v="2012"/>
    <n v="19386127"/>
    <n v="18412212.100000001"/>
    <n v="52"/>
    <n v="52"/>
    <n v="5594"/>
    <n v="732637"/>
    <n v="460562"/>
    <n v="14131759"/>
    <n v="5.89"/>
    <s v="Long-term"/>
    <n v="3490656"/>
    <n v="0"/>
    <n v="2297457"/>
    <n v="832360.60509999993"/>
    <n v="14131759"/>
    <n v="2.7601702746659704"/>
    <n v="1465096.3949000002"/>
    <n v="2297457"/>
    <n v="0.18005948274247868"/>
    <n v="0.12477897753524139"/>
    <n v="6.8272641564764411E-2"/>
    <n v="0.26100000000000001"/>
    <x v="0"/>
    <n v="0.76752097592879664"/>
    <n v="3490656"/>
    <n v="0"/>
    <n v="0"/>
    <n v="0.33894523952715266"/>
  </r>
  <r>
    <s v="P070"/>
    <x v="2"/>
    <x v="0"/>
    <n v="2018"/>
    <n v="23150908"/>
    <n v="30524510.510000002"/>
    <n v="41"/>
    <n v="38"/>
    <n v="2361"/>
    <n v="365737"/>
    <n v="286851"/>
    <n v="8183115"/>
    <n v="3.92"/>
    <s v="Long-term"/>
    <n v="1076616"/>
    <n v="7.3170731707317027E-2"/>
    <n v="424028"/>
    <n v="320778.10800000001"/>
    <n v="8183115"/>
    <n v="1.3218732495298589"/>
    <n v="103249.89199999999"/>
    <n v="424028"/>
    <n v="4.6504266700900028E-2"/>
    <n v="1.389139392951399E-2"/>
    <n v="0.33681748076576529"/>
    <n v="0.751"/>
    <x v="0"/>
    <n v="0.26808341438658501"/>
    <n v="1161612"/>
    <n v="84996"/>
    <n v="7.3170731707317069E-2"/>
    <n v="0.33664397214431718"/>
  </r>
  <r>
    <s v="P050"/>
    <x v="0"/>
    <x v="0"/>
    <n v="2019"/>
    <n v="19132505"/>
    <n v="21923650.309999999"/>
    <n v="34"/>
    <n v="33"/>
    <n v="5978"/>
    <n v="228411"/>
    <n v="441719"/>
    <n v="11865412"/>
    <n v="7.15"/>
    <s v="Short-term"/>
    <n v="2367288"/>
    <n v="2.9411764705882359E-2"/>
    <n v="1697158"/>
    <n v="848376.9580000001"/>
    <n v="11865412"/>
    <n v="2.0004763024221597"/>
    <n v="848781.0419999999"/>
    <n v="1697158"/>
    <n v="0.12373121031459289"/>
    <n v="7.7412199884700689E-2"/>
    <n v="0.23459046842010486"/>
    <n v="0.52300000000000002"/>
    <x v="0"/>
    <n v="0.54121516409098391"/>
    <n v="2439024"/>
    <n v="71736"/>
    <n v="2.9411764705882353E-2"/>
    <n v="0.32409354093336051"/>
  </r>
  <r>
    <s v="P006"/>
    <x v="1"/>
    <x v="3"/>
    <n v="2014"/>
    <n v="16179222"/>
    <n v="16476926.289999999"/>
    <n v="28"/>
    <n v="28"/>
    <n v="3291"/>
    <n v="320314"/>
    <n v="159622"/>
    <n v="8335640"/>
    <n v="4.28"/>
    <s v="Long-term"/>
    <n v="1105776"/>
    <n v="0"/>
    <n v="625840"/>
    <n v="356765.39200000005"/>
    <n v="8335640"/>
    <n v="1.7542060245574489"/>
    <n v="269074.60799999995"/>
    <n v="625840"/>
    <n v="6.8345437129177164E-2"/>
    <n v="3.798281238775876E-2"/>
    <n v="5.708211989426927E-2"/>
    <n v="0.23400000000000001"/>
    <x v="0"/>
    <n v="0.50589775382189928"/>
    <n v="1105776"/>
    <n v="0"/>
    <n v="0"/>
    <n v="0.32278686673202295"/>
  </r>
  <r>
    <s v="P139"/>
    <x v="1"/>
    <x v="0"/>
    <n v="2014"/>
    <n v="9660471"/>
    <n v="12861940.050000001"/>
    <n v="79"/>
    <n v="55"/>
    <n v="2507"/>
    <n v="237348"/>
    <n v="130338"/>
    <n v="5792073"/>
    <n v="4.53"/>
    <s v="Long-term"/>
    <n v="1654620"/>
    <n v="0.30379746835443033"/>
    <n v="1286934"/>
    <n v="262380.9069"/>
    <n v="5792073"/>
    <n v="4.904830977242117"/>
    <n v="1024553.0930999999"/>
    <n v="1286934"/>
    <n v="0.17127736318446585"/>
    <n v="0.10005753369998019"/>
    <n v="0.46461534328916271"/>
    <n v="0.92600000000000005"/>
    <x v="0"/>
    <n v="0.45032654307854592"/>
    <n v="2376636"/>
    <n v="722016"/>
    <n v="0.30379746835443039"/>
    <n v="0.31778113744976033"/>
  </r>
  <r>
    <s v="P047"/>
    <x v="1"/>
    <x v="2"/>
    <n v="2020"/>
    <n v="6220396"/>
    <n v="6449407.2300000004"/>
    <n v="55"/>
    <n v="49"/>
    <n v="1694"/>
    <n v="369147"/>
    <n v="409166"/>
    <n v="2548079"/>
    <n v="4.41"/>
    <s v="Short-term"/>
    <n v="996072"/>
    <n v="0.10909090909090913"/>
    <n v="217759"/>
    <n v="112370.28389999999"/>
    <n v="2548079"/>
    <n v="1.9378699816562448"/>
    <n v="105388.71610000001"/>
    <n v="217759"/>
    <n v="0.16012999815445833"/>
    <n v="3.3764188278742009E-2"/>
    <n v="7.1823438572078124E-2"/>
    <n v="0.26800000000000002"/>
    <x v="0"/>
    <n v="0.39508731719519591"/>
    <n v="1118040"/>
    <n v="121968"/>
    <n v="0.10909090909090909"/>
    <n v="0.31697170638468908"/>
  </r>
  <r>
    <s v="P087"/>
    <x v="3"/>
    <x v="1"/>
    <n v="2014"/>
    <n v="7976306"/>
    <n v="9622644.3699999992"/>
    <n v="73"/>
    <n v="69"/>
    <n v="4142"/>
    <n v="654381"/>
    <n v="408698"/>
    <n v="7138998"/>
    <n v="6.91"/>
    <s v="Short-term"/>
    <n v="3429576"/>
    <n v="5.4794520547945202E-2"/>
    <n v="2366497"/>
    <n v="493304.76179999998"/>
    <n v="7138998"/>
    <n v="4.7972312113205309"/>
    <n v="1873192.2382"/>
    <n v="2366497"/>
    <n v="0.42997046502478714"/>
    <n v="0.24593000728343453"/>
    <n v="0.50309446127066826"/>
    <n v="0.96599999999999997"/>
    <x v="0"/>
    <n v="0.74189565004156965"/>
    <n v="3628392"/>
    <n v="198816"/>
    <n v="5.4794520547945202E-2"/>
    <n v="0.30702257597545557"/>
  </r>
  <r>
    <s v="P077"/>
    <x v="4"/>
    <x v="0"/>
    <n v="2020"/>
    <n v="12321761"/>
    <n v="16653731.07"/>
    <n v="58"/>
    <n v="42"/>
    <n v="4730"/>
    <n v="730797"/>
    <n v="490926"/>
    <n v="6319463"/>
    <n v="4.17"/>
    <s v="Short-term"/>
    <n v="2383920"/>
    <n v="0.27586206896551724"/>
    <n v="1162197"/>
    <n v="263521.60710000002"/>
    <n v="6319463"/>
    <n v="4.4102531583263094"/>
    <n v="898675.39289999998"/>
    <n v="1162197"/>
    <n v="0.19347234538959163"/>
    <n v="6.9785983400054985E-2"/>
    <n v="0.44589138435650555"/>
    <n v="0.90600000000000003"/>
    <x v="0"/>
    <n v="0.3794622942713341"/>
    <n v="3292080"/>
    <n v="908160"/>
    <n v="0.27586206896551724"/>
    <n v="0.29220682183897001"/>
  </r>
  <r>
    <s v="P121"/>
    <x v="2"/>
    <x v="1"/>
    <n v="2012"/>
    <n v="11012923"/>
    <n v="14649683.67"/>
    <n v="35"/>
    <n v="29"/>
    <n v="5321"/>
    <n v="591047"/>
    <n v="346170"/>
    <n v="6538070"/>
    <n v="3.94"/>
    <s v="Short-term"/>
    <n v="1851708"/>
    <n v="0.17142857142857137"/>
    <n v="914491"/>
    <n v="257599.95799999998"/>
    <n v="6538070"/>
    <n v="3.5500432806747586"/>
    <n v="656891.04200000002"/>
    <n v="914491"/>
    <n v="0.16813955749985721"/>
    <n v="6.2423941745084796E-2"/>
    <n v="0.41326464100402771"/>
    <n v="0.88500000000000001"/>
    <x v="0"/>
    <n v="0.44629427824362028"/>
    <n v="2234820"/>
    <n v="383112"/>
    <n v="0.17142857142857143"/>
    <n v="0.28696572402276266"/>
  </r>
  <r>
    <s v="P038"/>
    <x v="4"/>
    <x v="2"/>
    <n v="2015"/>
    <n v="8069037"/>
    <n v="8676847.2400000002"/>
    <n v="43"/>
    <n v="42"/>
    <n v="4318"/>
    <n v="809371"/>
    <n v="120991"/>
    <n v="5904978"/>
    <n v="4.63"/>
    <s v="Short-term"/>
    <n v="2176272"/>
    <n v="2.3255813953488413E-2"/>
    <n v="1245910"/>
    <n v="273400.48139999999"/>
    <n v="5904978"/>
    <n v="4.5570878062104248"/>
    <n v="972509.51860000007"/>
    <n v="1245910"/>
    <n v="0.26970653375365611"/>
    <n v="0.14359017342801578"/>
    <n v="0.22973252446357603"/>
    <n v="0.503"/>
    <x v="0"/>
    <n v="0.6805441926853607"/>
    <n v="2228088"/>
    <n v="51816"/>
    <n v="2.3255813953488372E-2"/>
    <n v="0.27929709964419713"/>
  </r>
  <r>
    <s v="P022"/>
    <x v="2"/>
    <x v="3"/>
    <n v="2015"/>
    <n v="8326702"/>
    <n v="7881192.6600000001"/>
    <n v="10"/>
    <n v="10"/>
    <n v="5296"/>
    <n v="679261"/>
    <n v="235160"/>
    <n v="14873961"/>
    <n v="4.3899999999999997"/>
    <s v="Long-term"/>
    <n v="635520"/>
    <n v="0"/>
    <n v="-278901"/>
    <n v="276787.48621920001"/>
    <n v="6304954.1280000005"/>
    <n v="-1.0076358718729292"/>
    <n v="-555688.48621920007"/>
    <n v="-278901"/>
    <n v="7.63231348978263E-2"/>
    <n v="-3.5388171820177276E-2"/>
    <n v="-8.6998470703046643E-2"/>
    <n v="2.5999999999999999E-2"/>
    <x v="1"/>
    <n v="1.8872728585218979"/>
    <n v="635520"/>
    <n v="0"/>
    <n v="0"/>
    <n v="0.26845525971088213"/>
  </r>
  <r>
    <s v="P120"/>
    <x v="1"/>
    <x v="3"/>
    <n v="2010"/>
    <n v="6293622"/>
    <n v="7423619.6299999999"/>
    <n v="29"/>
    <n v="24"/>
    <n v="5418"/>
    <n v="769995"/>
    <n v="161522"/>
    <n v="2703278"/>
    <n v="6.71"/>
    <s v="Short-term"/>
    <n v="1560384"/>
    <n v="0.17241379310344829"/>
    <n v="628867"/>
    <n v="181389.95379999999"/>
    <n v="2703278"/>
    <n v="3.4669340105427606"/>
    <n v="447477.04619999998"/>
    <n v="628867"/>
    <n v="0.24793100062253501"/>
    <n v="8.4711640862989643E-2"/>
    <n v="0.27946778977193099"/>
    <n v="0.624"/>
    <x v="0"/>
    <n v="0.36414554283945716"/>
    <n v="1885464"/>
    <n v="325080"/>
    <n v="0.17241379310344829"/>
    <n v="0.26474096843637962"/>
  </r>
  <r>
    <s v="P046"/>
    <x v="3"/>
    <x v="2"/>
    <n v="2013"/>
    <n v="16482486"/>
    <n v="20698543.579999998"/>
    <n v="52"/>
    <n v="44"/>
    <n v="3962"/>
    <n v="697497"/>
    <n v="277699"/>
    <n v="7541826"/>
    <n v="4.33"/>
    <s v="Long-term"/>
    <n v="2091936"/>
    <n v="0.15384615384615385"/>
    <n v="1116740"/>
    <n v="326561.06579999998"/>
    <n v="7541826"/>
    <n v="3.4196973153068391"/>
    <n v="790178.93420000002"/>
    <n v="1116740"/>
    <n v="0.12691871845060265"/>
    <n v="5.3952588291238612E-2"/>
    <n v="0.32354327981834768"/>
    <n v="0.71799999999999997"/>
    <x v="0"/>
    <n v="0.36436505645195744"/>
    <n v="2472288"/>
    <n v="380352"/>
    <n v="0.15384615384615385"/>
    <n v="0.25857504094158823"/>
  </r>
  <r>
    <s v="P035"/>
    <x v="1"/>
    <x v="2"/>
    <n v="2015"/>
    <n v="15054967"/>
    <n v="18531974.359999999"/>
    <n v="56"/>
    <n v="55"/>
    <n v="4192"/>
    <n v="773659"/>
    <n v="465470"/>
    <n v="9207099"/>
    <n v="5.0999999999999996"/>
    <s v="Short-term"/>
    <n v="2766720"/>
    <n v="1.7857142857142905E-2"/>
    <n v="1527591"/>
    <n v="469562.04899999994"/>
    <n v="9207099"/>
    <n v="3.2532250066912884"/>
    <n v="1058028.9510000001"/>
    <n v="1527591"/>
    <n v="0.18377456423517899"/>
    <n v="8.2430019075420302E-2"/>
    <n v="0.33242174227283255"/>
    <n v="0.74399999999999999"/>
    <x v="0"/>
    <n v="0.49682234721157903"/>
    <n v="2817024"/>
    <n v="50304"/>
    <n v="1.7857142857142856E-2"/>
    <n v="0.24840574659414677"/>
  </r>
  <r>
    <s v="P081"/>
    <x v="0"/>
    <x v="0"/>
    <n v="2012"/>
    <n v="18064327"/>
    <n v="22338190.84"/>
    <n v="43"/>
    <n v="42"/>
    <n v="3189"/>
    <n v="700013"/>
    <n v="255095"/>
    <n v="6225498"/>
    <n v="5.31"/>
    <s v="Long-term"/>
    <n v="1607256"/>
    <n v="2.3255813953488413E-2"/>
    <n v="652148"/>
    <n v="330573.94379999995"/>
    <n v="6225498"/>
    <n v="1.9727749637598633"/>
    <n v="321574.05620000005"/>
    <n v="652148"/>
    <n v="8.8974031526333638E-2"/>
    <n v="2.9194306945942449E-2"/>
    <n v="0.2726927961390424"/>
    <n v="0.60399999999999998"/>
    <x v="0"/>
    <n v="0.27869302597470336"/>
    <n v="1645524"/>
    <n v="38268"/>
    <n v="2.3255813953488372E-2"/>
    <n v="0.24498028977204722"/>
  </r>
  <r>
    <s v="P036"/>
    <x v="3"/>
    <x v="3"/>
    <n v="2010"/>
    <n v="22875525"/>
    <n v="31117449.370000001"/>
    <n v="69"/>
    <n v="69"/>
    <n v="1519"/>
    <n v="383432"/>
    <n v="418938"/>
    <n v="4484745"/>
    <n v="6.68"/>
    <s v="Short-term"/>
    <n v="1257732"/>
    <n v="0"/>
    <n v="455362"/>
    <n v="299580.96600000001"/>
    <n v="4484745"/>
    <n v="1.5199964339523493"/>
    <n v="155781.03399999999"/>
    <n v="455362"/>
    <n v="5.4981557800312782E-2"/>
    <n v="1.4633654403532495E-2"/>
    <n v="0.38020051430513624"/>
    <n v="0.83199999999999996"/>
    <x v="0"/>
    <n v="0.1441231556826664"/>
    <n v="1257732"/>
    <n v="0"/>
    <n v="0"/>
    <n v="0.24060583080140877"/>
  </r>
  <r>
    <s v="P133"/>
    <x v="4"/>
    <x v="2"/>
    <n v="2018"/>
    <n v="14260871"/>
    <n v="19249669.539999999"/>
    <n v="69"/>
    <n v="69"/>
    <n v="1513"/>
    <n v="290893"/>
    <n v="162963"/>
    <n v="7954423"/>
    <n v="3.6"/>
    <s v="Long-term"/>
    <n v="1252764"/>
    <n v="0"/>
    <n v="798908"/>
    <n v="286359.22800000006"/>
    <n v="7954423"/>
    <n v="2.7898804085335773"/>
    <n v="512548.77199999994"/>
    <n v="798908"/>
    <n v="8.7846247259371471E-2"/>
    <n v="4.1502426747633409E-2"/>
    <n v="0.40584523483874158"/>
    <n v="0.872"/>
    <x v="0"/>
    <n v="0.41322387293304153"/>
    <n v="1252764"/>
    <n v="0"/>
    <n v="0"/>
    <n v="0.23149865286510729"/>
  </r>
  <r>
    <s v="P055"/>
    <x v="0"/>
    <x v="2"/>
    <n v="2019"/>
    <n v="11321485"/>
    <n v="12549916.890000001"/>
    <n v="63"/>
    <n v="53"/>
    <n v="3808"/>
    <n v="814489"/>
    <n v="309017"/>
    <n v="4638014"/>
    <n v="5.27"/>
    <s v="Long-term"/>
    <n v="2421888"/>
    <n v="0.15873015873015872"/>
    <n v="1298382"/>
    <n v="244423.33779999998"/>
    <n v="4638014"/>
    <n v="5.312021395691783"/>
    <n v="1053958.6622000001"/>
    <n v="1298382"/>
    <n v="0.21391964040053049"/>
    <n v="0.10345741819490248"/>
    <n v="0.22318749616326838"/>
    <n v="0.48899999999999999"/>
    <x v="0"/>
    <n v="0.36956531590226332"/>
    <n v="2878848"/>
    <n v="456960"/>
    <n v="0.15873015873015872"/>
    <n v="0.23083733440427862"/>
  </r>
  <r>
    <s v="P016"/>
    <x v="0"/>
    <x v="3"/>
    <n v="2013"/>
    <n v="9766332"/>
    <n v="10034917.65"/>
    <n v="63"/>
    <n v="59"/>
    <n v="4468"/>
    <n v="333268"/>
    <n v="283180"/>
    <n v="5834703"/>
    <n v="4.22"/>
    <s v="Short-term"/>
    <n v="3163344"/>
    <n v="6.3492063492063489E-2"/>
    <n v="2546896"/>
    <n v="246224.46659999996"/>
    <n v="5834703"/>
    <n v="10.343797410423551"/>
    <n v="2300671.5334000001"/>
    <n v="2546896"/>
    <n v="0.3239029760610227"/>
    <n v="0.25380337824695554"/>
    <n v="0.28828445008832387"/>
    <n v="0.64400000000000002"/>
    <x v="0"/>
    <n v="0.58144004799082727"/>
    <n v="3377808"/>
    <n v="214464"/>
    <n v="6.3492063492063489E-2"/>
    <n v="0.2288317280078051"/>
  </r>
  <r>
    <s v="P104"/>
    <x v="3"/>
    <x v="0"/>
    <n v="2022"/>
    <n v="18541623"/>
    <n v="22257362.5"/>
    <n v="65"/>
    <n v="50"/>
    <n v="3987"/>
    <n v="263156"/>
    <n v="218351"/>
    <n v="5775737"/>
    <n v="5.49"/>
    <s v="Long-term"/>
    <n v="2392200"/>
    <n v="0.23076923076923073"/>
    <n v="1910693"/>
    <n v="317087.96130000002"/>
    <n v="5775737"/>
    <n v="6.0257506849724729"/>
    <n v="1593605.0386999999"/>
    <n v="1910693"/>
    <n v="0.12901783193413005"/>
    <n v="8.5845436538134298E-2"/>
    <n v="0.30344875958269674"/>
    <n v="0.67700000000000005"/>
    <x v="0"/>
    <n v="0.25949781785690018"/>
    <n v="3109860"/>
    <n v="717660"/>
    <n v="0.23076923076923078"/>
    <n v="0.21994336565675271"/>
  </r>
  <r>
    <s v="P101"/>
    <x v="1"/>
    <x v="0"/>
    <n v="2016"/>
    <n v="23388899"/>
    <n v="25843876.210000001"/>
    <n v="73"/>
    <n v="68"/>
    <n v="5685"/>
    <n v="401994"/>
    <n v="267538"/>
    <n v="12187409"/>
    <n v="5.46"/>
    <s v="Short-term"/>
    <n v="4638960"/>
    <n v="6.8493150684931559E-2"/>
    <n v="3969428"/>
    <n v="665432.53139999998"/>
    <n v="12187409"/>
    <n v="5.9651847673403369"/>
    <n v="3303995.4686000003"/>
    <n v="3969428"/>
    <n v="0.19834024679827811"/>
    <n v="0.15359259453750493"/>
    <n v="0.27467753869047024"/>
    <n v="0.61699999999999999"/>
    <x v="0"/>
    <n v="0.47157821454369209"/>
    <n v="4980060"/>
    <n v="341100"/>
    <n v="6.8493150684931503E-2"/>
    <n v="0.21916254487415218"/>
  </r>
  <r>
    <s v="P115"/>
    <x v="4"/>
    <x v="3"/>
    <n v="2021"/>
    <n v="19788855"/>
    <n v="23774636.440000001"/>
    <n v="78"/>
    <n v="68"/>
    <n v="2311"/>
    <n v="751207"/>
    <n v="105820"/>
    <n v="5701918"/>
    <n v="5.35"/>
    <s v="Long-term"/>
    <n v="1885776"/>
    <n v="0.12820512820512819"/>
    <n v="1028749"/>
    <n v="305052.61300000001"/>
    <n v="5701918"/>
    <n v="3.3723658023542318"/>
    <n v="723696.38699999999"/>
    <n v="1028749"/>
    <n v="9.529485157175592E-2"/>
    <n v="4.3270861474422613E-2"/>
    <n v="0.25340174759984857"/>
    <n v="0.56299999999999994"/>
    <x v="0"/>
    <n v="0.23983197448213006"/>
    <n v="2163096"/>
    <n v="277320"/>
    <n v="0.12820512820512819"/>
    <n v="0.21218996475264035"/>
  </r>
  <r>
    <s v="P009"/>
    <x v="2"/>
    <x v="2"/>
    <n v="2010"/>
    <n v="23168365"/>
    <n v="27656361.690000001"/>
    <n v="38"/>
    <n v="34"/>
    <n v="5299"/>
    <n v="242604"/>
    <n v="338138"/>
    <n v="7693026"/>
    <n v="5.53"/>
    <s v="Short-term"/>
    <n v="2161992"/>
    <n v="0.10526315789473684"/>
    <n v="1581250"/>
    <n v="425424.33780000004"/>
    <n v="7693026"/>
    <n v="3.7168771494765194"/>
    <n v="1155825.6621999999"/>
    <n v="1581250"/>
    <n v="9.3316554707248436E-2"/>
    <n v="5.71749103415779E-2"/>
    <n v="0.26196266719727529"/>
    <n v="0.58299999999999996"/>
    <x v="0"/>
    <n v="0.27816478849355109"/>
    <n v="2416344"/>
    <n v="254352"/>
    <n v="0.10526315789473684"/>
    <n v="0.20626761754943834"/>
  </r>
  <r>
    <s v="P025"/>
    <x v="4"/>
    <x v="3"/>
    <n v="2014"/>
    <n v="5073915"/>
    <n v="4688062.3099999996"/>
    <n v="42"/>
    <n v="34"/>
    <n v="1708"/>
    <n v="781549"/>
    <n v="149380"/>
    <n v="6612437"/>
    <n v="6.12"/>
    <s v="Long-term"/>
    <n v="696864"/>
    <n v="0.19047619047619047"/>
    <n v="-234065"/>
    <n v="229527.53069760001"/>
    <n v="3750449.8479999998"/>
    <n v="-1.0197687366243575"/>
    <n v="-463592.53069759998"/>
    <n v="-234065"/>
    <n v="0.13734246632038574"/>
    <n v="-4.9927877345128553E-2"/>
    <n v="-0.12217738964882155"/>
    <n v="0"/>
    <x v="1"/>
    <n v="1.4104840257551954"/>
    <n v="860832"/>
    <n v="163968"/>
    <n v="0.19047619047619047"/>
    <n v="0.20515133679431247"/>
  </r>
  <r>
    <s v="P040"/>
    <x v="0"/>
    <x v="3"/>
    <n v="2012"/>
    <n v="24479136"/>
    <n v="32006303.969999999"/>
    <n v="54"/>
    <n v="49"/>
    <n v="3009"/>
    <n v="403932"/>
    <n v="229165"/>
    <n v="8092722"/>
    <n v="4.1900000000000004"/>
    <s v="Short-term"/>
    <n v="1769292"/>
    <n v="9.259259259259256E-2"/>
    <n v="1136195"/>
    <n v="339085.05180000007"/>
    <n v="8092722"/>
    <n v="3.35076699479561"/>
    <n v="797109.94819999998"/>
    <n v="1136195"/>
    <n v="7.2277550972387264E-2"/>
    <n v="3.5499100460489694E-2"/>
    <n v="0.35390803703202589"/>
    <n v="0.79100000000000004"/>
    <x v="0"/>
    <n v="0.252847751729954"/>
    <n v="1949832"/>
    <n v="180540"/>
    <n v="9.2592592592592587E-2"/>
    <n v="0.20242310274146674"/>
  </r>
  <r>
    <s v="P130"/>
    <x v="3"/>
    <x v="3"/>
    <n v="2018"/>
    <n v="19333579"/>
    <n v="20315696.620000001"/>
    <n v="78"/>
    <n v="66"/>
    <n v="3774"/>
    <n v="459051"/>
    <n v="375793"/>
    <n v="6440206"/>
    <n v="5.0999999999999996"/>
    <s v="Short-term"/>
    <n v="2989008"/>
    <n v="0.15384615384615385"/>
    <n v="2154164"/>
    <n v="328450.50599999999"/>
    <n v="6440206"/>
    <n v="6.5585650216657001"/>
    <n v="1825713.4939999999"/>
    <n v="2154164"/>
    <n v="0.15460189755864653"/>
    <n v="0.10603446390705158"/>
    <n v="0.162219401798291"/>
    <n v="0.39500000000000002"/>
    <x v="0"/>
    <n v="0.31700640743275676"/>
    <n v="3532464"/>
    <n v="543456"/>
    <n v="0.15384615384615385"/>
    <n v="0.20238209693404569"/>
  </r>
  <r>
    <s v="P134"/>
    <x v="4"/>
    <x v="1"/>
    <n v="2011"/>
    <n v="13833750"/>
    <n v="18456680.66"/>
    <n v="67"/>
    <n v="67"/>
    <n v="5880"/>
    <n v="201808"/>
    <n v="238911"/>
    <n v="9892075"/>
    <n v="4.4400000000000004"/>
    <s v="Long-term"/>
    <n v="4727520"/>
    <n v="0"/>
    <n v="4286801"/>
    <n v="439208.13"/>
    <n v="9892075"/>
    <n v="9.7602951930785071"/>
    <n v="3847592.87"/>
    <n v="4286801"/>
    <n v="0.34173814041745731"/>
    <n v="0.23226283636637401"/>
    <n v="0.64405758814493541"/>
    <n v="0.99299999999999999"/>
    <x v="0"/>
    <n v="0.53596175727515671"/>
    <n v="4727520"/>
    <n v="0"/>
    <n v="0"/>
    <n v="0.19152530246089561"/>
  </r>
  <r>
    <s v="P024"/>
    <x v="1"/>
    <x v="0"/>
    <n v="2022"/>
    <n v="11165603"/>
    <n v="10290992.050000001"/>
    <n v="69"/>
    <n v="56"/>
    <n v="4408"/>
    <n v="378562"/>
    <n v="140451"/>
    <n v="3441814"/>
    <n v="3.74"/>
    <s v="Short-term"/>
    <n v="2962176"/>
    <n v="0.18840579710144922"/>
    <n v="2443163"/>
    <n v="128723.84360000001"/>
    <n v="3441814"/>
    <n v="18.97987918688904"/>
    <n v="2314439.1564000002"/>
    <n v="2443163"/>
    <n v="0.26529476285338105"/>
    <n v="0.23740791831629099"/>
    <n v="0.14048072907482029"/>
    <n v="0.36899999999999999"/>
    <x v="0"/>
    <n v="0.3344491943320469"/>
    <n v="3649824"/>
    <n v="687648"/>
    <n v="0.18840579710144928"/>
    <n v="0.19150328944776393"/>
  </r>
  <r>
    <s v="P137"/>
    <x v="1"/>
    <x v="1"/>
    <n v="2022"/>
    <n v="18957046"/>
    <n v="24321779.57"/>
    <n v="63"/>
    <n v="55"/>
    <n v="5991"/>
    <n v="703551"/>
    <n v="383162"/>
    <n v="8606141"/>
    <n v="3.61"/>
    <s v="Long-term"/>
    <n v="3954060"/>
    <n v="0.12698412698412698"/>
    <n v="2867347"/>
    <n v="310681.69010000001"/>
    <n v="8606141"/>
    <n v="9.229211412739124"/>
    <n v="2556665.3098999998"/>
    <n v="2867347"/>
    <n v="0.20857996546508353"/>
    <n v="0.11789215471456557"/>
    <n v="0.4342491214084726"/>
    <n v="0.89900000000000002"/>
    <x v="0"/>
    <n v="0.35384503733498807"/>
    <n v="4529196"/>
    <n v="575136"/>
    <n v="0.12698412698412698"/>
    <n v="0.1894526477375888"/>
  </r>
  <r>
    <s v="P110"/>
    <x v="3"/>
    <x v="0"/>
    <n v="2017"/>
    <n v="19946488"/>
    <n v="26202023.899999999"/>
    <n v="39"/>
    <n v="31"/>
    <n v="3960"/>
    <n v="593551"/>
    <n v="215704"/>
    <n v="2569123"/>
    <n v="6.69"/>
    <s v="Long-term"/>
    <n v="1473120"/>
    <n v="0.20512820512820518"/>
    <n v="663865"/>
    <n v="171874.32870000001"/>
    <n v="2569123"/>
    <n v="3.8625023586783032"/>
    <n v="491990.67129999999"/>
    <n v="663865"/>
    <n v="7.3853602699382473E-2"/>
    <n v="2.5336401589955045E-2"/>
    <n v="0.34689820583954423"/>
    <n v="0.76500000000000001"/>
    <x v="0"/>
    <n v="9.8050555552695304E-2"/>
    <n v="1853280"/>
    <n v="380160"/>
    <n v="0.20512820512820512"/>
    <n v="0.18913630419975658"/>
  </r>
  <r>
    <s v="P034"/>
    <x v="4"/>
    <x v="1"/>
    <n v="2012"/>
    <n v="20266466"/>
    <n v="25542436.649999999"/>
    <n v="76"/>
    <n v="69"/>
    <n v="4783"/>
    <n v="697143"/>
    <n v="320631"/>
    <n v="7238735"/>
    <n v="7.11"/>
    <s v="Short-term"/>
    <n v="3960324"/>
    <n v="9.210526315789469E-2"/>
    <n v="2942550"/>
    <n v="514674.05849999998"/>
    <n v="7238735"/>
    <n v="5.717307782280618"/>
    <n v="2427875.9415000002"/>
    <n v="2942550"/>
    <n v="0.19541265852665185"/>
    <n v="0.11520239984621829"/>
    <n v="0.40552312623226955"/>
    <n v="0.86499999999999999"/>
    <x v="0"/>
    <n v="0.28340033095472122"/>
    <n v="4362096"/>
    <n v="401772"/>
    <n v="9.2105263157894732E-2"/>
    <n v="0.17433445397609207"/>
  </r>
  <r>
    <s v="P135"/>
    <x v="2"/>
    <x v="2"/>
    <n v="2017"/>
    <n v="11969615"/>
    <n v="12815863.890000001"/>
    <n v="36"/>
    <n v="33"/>
    <n v="3989"/>
    <n v="297651"/>
    <n v="232351"/>
    <n v="3977098"/>
    <n v="4.1900000000000004"/>
    <s v="Short-term"/>
    <n v="1579644"/>
    <n v="8.333333333333337E-2"/>
    <n v="1049642"/>
    <n v="166640.40620000003"/>
    <n v="3977098"/>
    <n v="6.2988444635704433"/>
    <n v="883001.59379999992"/>
    <n v="1049642"/>
    <n v="0.1319711619797295"/>
    <n v="8.1901774941525216E-2"/>
    <n v="0.15839196916525725"/>
    <n v="0.38900000000000001"/>
    <x v="0"/>
    <n v="0.31032617341568847"/>
    <n v="1723248"/>
    <n v="143604"/>
    <n v="8.3333333333333329E-2"/>
    <n v="0.17405896879277288"/>
  </r>
  <r>
    <s v="P148"/>
    <x v="1"/>
    <x v="2"/>
    <n v="2018"/>
    <n v="17180325"/>
    <n v="20477916.210000001"/>
    <n v="77"/>
    <n v="67"/>
    <n v="3650"/>
    <n v="320452"/>
    <n v="239581"/>
    <n v="5119154"/>
    <n v="7.13"/>
    <s v="Long-term"/>
    <n v="2934600"/>
    <n v="0.12987012987012991"/>
    <n v="2374567"/>
    <n v="364995.6802"/>
    <n v="5119154"/>
    <n v="6.5057400095772424"/>
    <n v="2009571.3197999999"/>
    <n v="2374567"/>
    <n v="0.17081166974431508"/>
    <n v="0.1159574526845864"/>
    <n v="0.33015430208683483"/>
    <n v="0.73799999999999999"/>
    <x v="0"/>
    <n v="0.24998412668082695"/>
    <n v="3372600"/>
    <n v="438000"/>
    <n v="0.12987012987012986"/>
    <n v="0.17305641460197299"/>
  </r>
  <r>
    <s v="P007"/>
    <x v="1"/>
    <x v="2"/>
    <n v="2010"/>
    <n v="22311925"/>
    <n v="25985804.140000001"/>
    <n v="31"/>
    <n v="27"/>
    <n v="5166"/>
    <n v="297893"/>
    <n v="231978"/>
    <n v="4863066"/>
    <n v="4.87"/>
    <s v="Short-term"/>
    <n v="1673784"/>
    <n v="0.12903225806451613"/>
    <n v="1143913"/>
    <n v="236831.31419999999"/>
    <n v="4863066"/>
    <n v="4.8300749580521476"/>
    <n v="907081.68579999998"/>
    <n v="1143913"/>
    <n v="7.5017462634891438E-2"/>
    <n v="4.4020688905261639E-2"/>
    <n v="0.21592902181232684"/>
    <n v="0.46899999999999997"/>
    <x v="0"/>
    <n v="0.18714317916813175"/>
    <n v="1921752"/>
    <n v="247968"/>
    <n v="0.12903225806451613"/>
    <n v="0.16986669430390988"/>
  </r>
  <r>
    <s v="P132"/>
    <x v="4"/>
    <x v="2"/>
    <n v="2022"/>
    <n v="20280168"/>
    <n v="20168102.829999998"/>
    <n v="42"/>
    <n v="33"/>
    <n v="5344"/>
    <n v="266080"/>
    <n v="195357"/>
    <n v="2841717"/>
    <n v="6.61"/>
    <s v="Short-term"/>
    <n v="2116224"/>
    <n v="0.2142857142857143"/>
    <n v="1654787"/>
    <n v="187837.49370000002"/>
    <n v="2841717"/>
    <n v="8.8096735502811914"/>
    <n v="1466949.5063"/>
    <n v="1654787"/>
    <n v="0.10434943142482843"/>
    <n v="8.2049710572603227E-2"/>
    <n v="7.6070465984305363E-2"/>
    <n v="0.28100000000000003"/>
    <x v="0"/>
    <n v="0.14090155251355391"/>
    <n v="2693376"/>
    <n v="577152"/>
    <n v="0.21428571428571427"/>
    <n v="0.16203822669507292"/>
  </r>
  <r>
    <s v="P112"/>
    <x v="3"/>
    <x v="0"/>
    <n v="2018"/>
    <n v="22698816"/>
    <n v="27466304.219999999"/>
    <n v="50"/>
    <n v="49"/>
    <n v="3869"/>
    <n v="614539"/>
    <n v="268200"/>
    <n v="7261844"/>
    <n v="4.41"/>
    <s v="Short-term"/>
    <n v="2274972"/>
    <n v="2.0000000000000018E-2"/>
    <n v="1392233"/>
    <n v="320247.32040000003"/>
    <n v="7261844"/>
    <n v="4.3473681474088606"/>
    <n v="1071985.6795999999"/>
    <n v="1392233"/>
    <n v="0.10022425839303689"/>
    <n v="5.0688763542720276E-2"/>
    <n v="0.27136751185612495"/>
    <n v="0.59699999999999998"/>
    <x v="0"/>
    <n v="0.26439101314228436"/>
    <n v="2321400"/>
    <n v="46428"/>
    <n v="0.02"/>
    <n v="0.1563245722088448"/>
  </r>
  <r>
    <s v="P109"/>
    <x v="3"/>
    <x v="3"/>
    <n v="2013"/>
    <n v="22026457"/>
    <n v="27601631.300000001"/>
    <n v="58"/>
    <n v="53"/>
    <n v="4086"/>
    <n v="776786"/>
    <n v="345945"/>
    <n v="5247772"/>
    <n v="5.94"/>
    <s v="Long-term"/>
    <n v="2598696"/>
    <n v="8.6206896551724088E-2"/>
    <n v="1475965"/>
    <n v="311717.6568"/>
    <n v="5247772"/>
    <n v="4.7349419187601178"/>
    <n v="1164247.3432"/>
    <n v="1475965"/>
    <n v="0.11798066298179503"/>
    <n v="5.347383217889734E-2"/>
    <n v="0.32012135678470671"/>
    <n v="0.71099999999999997"/>
    <x v="0"/>
    <n v="0.1901254292893913"/>
    <n v="2843856"/>
    <n v="245160"/>
    <n v="8.6206896551724144E-2"/>
    <n v="0.15487913713395718"/>
  </r>
  <r>
    <s v="P027"/>
    <x v="2"/>
    <x v="0"/>
    <n v="2010"/>
    <n v="17541432"/>
    <n v="18095443.420000002"/>
    <n v="32"/>
    <n v="31"/>
    <n v="4955"/>
    <n v="384652"/>
    <n v="261661"/>
    <n v="4248013"/>
    <n v="6.59"/>
    <s v="Short-term"/>
    <n v="1843260"/>
    <n v="3.125E-2"/>
    <n v="1196947"/>
    <n v="279944.05670000002"/>
    <n v="4248013"/>
    <n v="4.2756649814598475"/>
    <n v="917002.94329999993"/>
    <n v="1196947"/>
    <n v="0.10508036059997838"/>
    <n v="6.6146320497295658E-2"/>
    <n v="9.9818442416787972E-2"/>
    <n v="0.315"/>
    <x v="0"/>
    <n v="0.23475594940684794"/>
    <n v="1902720"/>
    <n v="59460"/>
    <n v="3.125E-2"/>
    <n v="0.15309130924126424"/>
  </r>
  <r>
    <s v="P107"/>
    <x v="4"/>
    <x v="1"/>
    <n v="2014"/>
    <n v="10637641"/>
    <n v="11586315.699999999"/>
    <n v="67"/>
    <n v="65"/>
    <n v="3535"/>
    <n v="608445"/>
    <n v="481622"/>
    <n v="3725248"/>
    <n v="6.02"/>
    <s v="Short-term"/>
    <n v="2757300"/>
    <n v="2.9850746268656692E-2"/>
    <n v="1667233"/>
    <n v="224259.92959999997"/>
    <n v="3725248"/>
    <n v="7.4343776125041652"/>
    <n v="1442973.0704000001"/>
    <n v="1667233"/>
    <n v="0.25920220469933136"/>
    <n v="0.14389673500783343"/>
    <n v="0.24591050779021395"/>
    <n v="0.54300000000000004"/>
    <x v="0"/>
    <n v="0.3215213616179991"/>
    <n v="2842140"/>
    <n v="84840"/>
    <n v="2.9850746268656716E-2"/>
    <n v="0.14874978234585745"/>
  </r>
  <r>
    <s v="P103"/>
    <x v="4"/>
    <x v="3"/>
    <n v="2013"/>
    <n v="23714891"/>
    <n v="31612476.02"/>
    <n v="70"/>
    <n v="63"/>
    <n v="4820"/>
    <n v="558168"/>
    <n v="153046"/>
    <n v="6966094"/>
    <n v="5.9"/>
    <s v="Short-term"/>
    <n v="3643920"/>
    <n v="9.9999999999999978E-2"/>
    <n v="2932706"/>
    <n v="410999.54600000003"/>
    <n v="6966094"/>
    <n v="7.1355455949822382"/>
    <n v="2521706.4539999999"/>
    <n v="2932706"/>
    <n v="0.1536553551943376"/>
    <n v="9.2770525097261899E-2"/>
    <n v="0.45668736238340712"/>
    <n v="0.91900000000000004"/>
    <x v="0"/>
    <n v="0.22035901254912205"/>
    <n v="4048800"/>
    <n v="404880"/>
    <n v="0.1"/>
    <n v="0.14815073971856219"/>
  </r>
  <r>
    <s v="P060"/>
    <x v="3"/>
    <x v="3"/>
    <n v="2014"/>
    <n v="15799268"/>
    <n v="20451329.809999999"/>
    <n v="75"/>
    <n v="74"/>
    <n v="4597"/>
    <n v="693001"/>
    <n v="149918"/>
    <n v="6121018"/>
    <n v="6.32"/>
    <s v="Short-term"/>
    <n v="4082136"/>
    <n v="1.3333333333333308E-2"/>
    <n v="3239217"/>
    <n v="386848.33760000003"/>
    <n v="6121018"/>
    <n v="8.3733512210393428"/>
    <n v="2852368.6623999998"/>
    <n v="3239217"/>
    <n v="0.25837500825987636"/>
    <n v="0.1583866198478758"/>
    <n v="0.49947116600591868"/>
    <n v="0.95899999999999996"/>
    <x v="0"/>
    <n v="0.29929682112930533"/>
    <n v="4137300"/>
    <n v="55164"/>
    <n v="1.3333333333333334E-2"/>
    <n v="0.13095032861163716"/>
  </r>
  <r>
    <s v="P053"/>
    <x v="2"/>
    <x v="0"/>
    <n v="2021"/>
    <n v="12145581"/>
    <n v="14034302.33"/>
    <n v="51"/>
    <n v="45"/>
    <n v="5092"/>
    <n v="614196"/>
    <n v="300975"/>
    <n v="2988772"/>
    <n v="3.87"/>
    <s v="Long-term"/>
    <n v="2749680"/>
    <n v="0.11764705882352944"/>
    <n v="1834509"/>
    <n v="115665.4764"/>
    <n v="2988772"/>
    <n v="15.860471569371413"/>
    <n v="1718843.5236"/>
    <n v="1834509"/>
    <n v="0.2263934512478242"/>
    <n v="0.13071608098954215"/>
    <n v="0.3065502037325345"/>
    <n v="0.68400000000000005"/>
    <x v="0"/>
    <n v="0.21296192213353865"/>
    <n v="3116304"/>
    <n v="366624"/>
    <n v="0.11764705882352941"/>
    <n v="0.12986234848534425"/>
  </r>
  <r>
    <s v="P092"/>
    <x v="4"/>
    <x v="3"/>
    <n v="2016"/>
    <n v="9243978"/>
    <n v="8760440.1500000004"/>
    <n v="16"/>
    <n v="13"/>
    <n v="2334"/>
    <n v="709653"/>
    <n v="199977"/>
    <n v="6561036"/>
    <n v="4.76"/>
    <s v="Short-term"/>
    <n v="364104"/>
    <n v="0.1875"/>
    <n v="-545526"/>
    <n v="312305.31359999999"/>
    <n v="6561036"/>
    <n v="-1.7467714324537833"/>
    <n v="-857831.31359999999"/>
    <n v="-545526"/>
    <n v="3.9388237401690049E-2"/>
    <n v="-6.2271528674275572E-2"/>
    <n v="-0.11132261998027253"/>
    <n v="6.0000000000000001E-3"/>
    <x v="1"/>
    <n v="0.74893908155973188"/>
    <n v="448128"/>
    <n v="84024"/>
    <n v="0.1875"/>
    <n v="0.12793630063844122"/>
  </r>
  <r>
    <s v="P069"/>
    <x v="1"/>
    <x v="1"/>
    <n v="2017"/>
    <n v="18905414"/>
    <n v="17752532.91"/>
    <n v="74"/>
    <n v="65"/>
    <n v="2488"/>
    <n v="366167"/>
    <n v="425275"/>
    <n v="2890949"/>
    <n v="4"/>
    <s v="Short-term"/>
    <n v="1940640"/>
    <n v="0.1216216216216216"/>
    <n v="1149198"/>
    <n v="115637.96"/>
    <n v="2890949"/>
    <n v="9.937895825903535"/>
    <n v="1033560.04"/>
    <n v="1149198"/>
    <n v="0.10264996048221954"/>
    <n v="6.4734311764190949E-2"/>
    <n v="-1.948166805550966E-4"/>
    <n v="0.14699999999999999"/>
    <x v="0"/>
    <n v="0.1628471280496277"/>
    <n v="2209344"/>
    <n v="268704"/>
    <n v="0.12162162162162163"/>
    <n v="0.12769026389520566"/>
  </r>
  <r>
    <s v="P085"/>
    <x v="1"/>
    <x v="2"/>
    <n v="2010"/>
    <n v="8284063"/>
    <n v="8487740.1500000004"/>
    <n v="60"/>
    <n v="59"/>
    <n v="5755"/>
    <n v="830654"/>
    <n v="478725"/>
    <n v="2600065"/>
    <n v="6.5"/>
    <s v="Short-term"/>
    <n v="4074540"/>
    <n v="1.6666666666666718E-2"/>
    <n v="2765161"/>
    <n v="169004.22500000001"/>
    <n v="2600065"/>
    <n v="16.361490371024747"/>
    <n v="2596156.7749999999"/>
    <n v="2765161"/>
    <n v="0.49185285046721638"/>
    <n v="0.32578294706630478"/>
    <n v="0.35837947514402058"/>
    <n v="0.81200000000000006"/>
    <x v="0"/>
    <n v="0.30633183321475738"/>
    <n v="4143600"/>
    <n v="69060"/>
    <n v="1.6666666666666666E-2"/>
    <n v="0.11690195458631604"/>
  </r>
  <r>
    <s v="P074"/>
    <x v="0"/>
    <x v="3"/>
    <n v="2018"/>
    <n v="19822085"/>
    <n v="20324700.440000001"/>
    <n v="10"/>
    <n v="7"/>
    <n v="1967"/>
    <n v="798480"/>
    <n v="281929"/>
    <n v="2229400"/>
    <n v="5.51"/>
    <s v="Short-term"/>
    <n v="165228"/>
    <n v="0.30000000000000004"/>
    <n v="-915181"/>
    <n v="122839.93999999999"/>
    <n v="2229400"/>
    <n v="-7.4501908744012741"/>
    <n v="-1038020.94"/>
    <n v="-915181"/>
    <n v="8.3355509776090655E-3"/>
    <n v="-4.5028019118986823E-2"/>
    <n v="-2.0813429061574434E-2"/>
    <n v="0.13400000000000001"/>
    <x v="0"/>
    <n v="0.10968919352988013"/>
    <n v="236040"/>
    <n v="70812"/>
    <n v="0.3"/>
    <n v="0.11263933336373984"/>
  </r>
  <r>
    <s v="P119"/>
    <x v="1"/>
    <x v="2"/>
    <n v="2018"/>
    <n v="22649621"/>
    <n v="20626969.620000001"/>
    <n v="55"/>
    <n v="50"/>
    <n v="3501"/>
    <n v="727604"/>
    <n v="239359"/>
    <n v="2881090"/>
    <n v="4.4800000000000004"/>
    <s v="Long-term"/>
    <n v="2100600"/>
    <n v="9.0909090909090939E-2"/>
    <n v="1133637"/>
    <n v="129072.83200000002"/>
    <n v="2881090"/>
    <n v="8.7829249768068909"/>
    <n v="1004564.1679999999"/>
    <n v="1133637"/>
    <n v="9.2743273717471916E-2"/>
    <n v="5.4958969780069901E-2"/>
    <n v="-3.9250739780590543E-2"/>
    <n v="9.2999999999999999E-2"/>
    <x v="1"/>
    <n v="0.13967587353241082"/>
    <n v="2310660"/>
    <n v="210060"/>
    <n v="9.0909090909090912E-2"/>
    <n v="0.11242358418917354"/>
  </r>
  <r>
    <s v="P125"/>
    <x v="2"/>
    <x v="2"/>
    <n v="2017"/>
    <n v="16433124"/>
    <n v="22208361.289999999"/>
    <n v="62"/>
    <n v="61"/>
    <n v="4516"/>
    <n v="864447"/>
    <n v="190505"/>
    <n v="5380987"/>
    <n v="4.29"/>
    <s v="Long-term"/>
    <n v="3305712"/>
    <n v="1.6129032258064502E-2"/>
    <n v="2250760"/>
    <n v="230844.34229999999"/>
    <n v="5380987"/>
    <n v="9.7501198321549687"/>
    <n v="2019915.6577000001"/>
    <n v="2250760"/>
    <n v="0.20116150769628466"/>
    <n v="0.1013474146340313"/>
    <n v="0.48840362246399399"/>
    <n v="0.94599999999999995"/>
    <x v="0"/>
    <n v="0.24229554489564953"/>
    <n v="3359904"/>
    <n v="54192"/>
    <n v="1.6129032258064516E-2"/>
    <n v="0.10990912897726285"/>
  </r>
  <r>
    <s v="P015"/>
    <x v="0"/>
    <x v="2"/>
    <n v="2013"/>
    <n v="14423358"/>
    <n v="19157318.039999999"/>
    <n v="53"/>
    <n v="45"/>
    <n v="5984"/>
    <n v="736343"/>
    <n v="450022"/>
    <n v="2065071"/>
    <n v="4.58"/>
    <s v="Short-term"/>
    <n v="3231360"/>
    <n v="0.15094339622641506"/>
    <n v="2044995"/>
    <n v="94580.251799999998"/>
    <n v="2065071"/>
    <n v="21.621796951062887"/>
    <n v="1950414.7482"/>
    <n v="2044995"/>
    <n v="0.22403659397485662"/>
    <n v="0.1067474578503161"/>
    <n v="0.46999839011137345"/>
    <n v="0.93200000000000005"/>
    <x v="0"/>
    <n v="0.10779541247309167"/>
    <n v="3805824"/>
    <n v="574464"/>
    <n v="0.15094339622641509"/>
    <n v="0.10659086972121599"/>
  </r>
  <r>
    <s v="P019"/>
    <x v="3"/>
    <x v="1"/>
    <n v="2017"/>
    <n v="8110767"/>
    <n v="7322966.9500000002"/>
    <n v="64"/>
    <n v="64"/>
    <n v="4811"/>
    <n v="759634"/>
    <n v="499742"/>
    <n v="2069875"/>
    <n v="6.41"/>
    <s v="Short-term"/>
    <n v="3694848"/>
    <n v="0"/>
    <n v="2435472"/>
    <n v="132678.98750000002"/>
    <n v="2069875"/>
    <n v="18.356124401386463"/>
    <n v="2302793.0125000002"/>
    <n v="2435472"/>
    <n v="0.45554853196991113"/>
    <n v="0.33257995244673333"/>
    <n v="0.20314625608157652"/>
    <n v="0.44900000000000001"/>
    <x v="0"/>
    <n v="0.28265524262676073"/>
    <n v="3694848"/>
    <n v="0"/>
    <n v="0"/>
    <n v="0.10113989196804753"/>
  </r>
  <r>
    <s v="P001"/>
    <x v="2"/>
    <x v="0"/>
    <n v="2016"/>
    <n v="22618075"/>
    <n v="24280074.600000001"/>
    <n v="67"/>
    <n v="60"/>
    <n v="4614"/>
    <n v="472824"/>
    <n v="442168"/>
    <n v="2519285"/>
    <n v="6.37"/>
    <s v="Long-term"/>
    <n v="3322080"/>
    <n v="0.10447761194029848"/>
    <n v="2407088"/>
    <n v="160478.45450000002"/>
    <n v="2519285"/>
    <n v="14.999446545642048"/>
    <n v="2246609.5455"/>
    <n v="2407088"/>
    <n v="0.14687722098366018"/>
    <n v="9.9138410390221782E-2"/>
    <n v="0.17990424030338575"/>
    <n v="0.436"/>
    <x v="0"/>
    <n v="0.10375935994858927"/>
    <n v="3709656"/>
    <n v="387576"/>
    <n v="0.1044776119402985"/>
    <n v="9.2919590727068832E-2"/>
  </r>
  <r>
    <s v="P113"/>
    <x v="2"/>
    <x v="0"/>
    <n v="2021"/>
    <n v="15930095"/>
    <n v="20628517.809999999"/>
    <n v="54"/>
    <n v="54"/>
    <n v="4167"/>
    <n v="654644"/>
    <n v="208877"/>
    <n v="3468474"/>
    <n v="7.27"/>
    <s v="Short-term"/>
    <n v="2700216"/>
    <n v="0"/>
    <n v="1836695"/>
    <n v="252158.05979999999"/>
    <n v="3468474"/>
    <n v="7.2839036017995253"/>
    <n v="1584536.9402000001"/>
    <n v="1836695"/>
    <n v="0.16950407389284244"/>
    <n v="8.9036692646411716E-2"/>
    <n v="0.4102372151578505"/>
    <n v="0.879"/>
    <x v="0"/>
    <n v="0.16813975836492734"/>
    <n v="2700216"/>
    <n v="0"/>
    <n v="0"/>
    <n v="9.1628634033969203E-2"/>
  </r>
  <r>
    <s v="P049"/>
    <x v="4"/>
    <x v="3"/>
    <n v="2016"/>
    <n v="7465579"/>
    <n v="7243429.0499999998"/>
    <n v="33"/>
    <n v="27"/>
    <n v="1562"/>
    <n v="483890"/>
    <n v="372384"/>
    <n v="3192999"/>
    <n v="4.1500000000000004"/>
    <s v="Short-term"/>
    <n v="506088"/>
    <n v="0.18181818181818177"/>
    <n v="-350186"/>
    <n v="132509.45850000001"/>
    <n v="3192999"/>
    <n v="-2.6427245569039886"/>
    <n v="-482695.45850000001"/>
    <n v="-350186"/>
    <n v="6.7789517731980331E-2"/>
    <n v="-4.8345334451781512E-2"/>
    <n v="-7.6663303676781161E-2"/>
    <n v="4.5999999999999999E-2"/>
    <x v="1"/>
    <n v="0.44081318087874416"/>
    <n v="618552"/>
    <n v="112464"/>
    <n v="0.18181818181818182"/>
    <n v="9.1452018484559292E-2"/>
  </r>
  <r>
    <s v="P026"/>
    <x v="3"/>
    <x v="3"/>
    <n v="2015"/>
    <n v="10313114"/>
    <n v="12709653.550000001"/>
    <n v="72"/>
    <n v="71"/>
    <n v="4595"/>
    <n v="565310"/>
    <n v="431061"/>
    <n v="2482024"/>
    <n v="4.37"/>
    <s v="Short-term"/>
    <n v="3914940"/>
    <n v="1.388888888888884E-2"/>
    <n v="2918569"/>
    <n v="108464.44880000001"/>
    <n v="2482024"/>
    <n v="26.908070176815389"/>
    <n v="2810104.5512000001"/>
    <n v="2918569"/>
    <n v="0.37960794382763535"/>
    <n v="0.2296340327860471"/>
    <n v="0.51537378041200754"/>
    <n v="0.97299999999999998"/>
    <x v="0"/>
    <n v="0.19528651904126842"/>
    <n v="3970080"/>
    <n v="55140"/>
    <n v="1.3888888888888888E-2"/>
    <n v="7.5290582830061195E-2"/>
  </r>
  <r>
    <s v="P090"/>
    <x v="2"/>
    <x v="0"/>
    <n v="2012"/>
    <n v="11150503"/>
    <n v="14479829.83"/>
    <n v="10"/>
    <n v="7"/>
    <n v="3501"/>
    <n v="500262"/>
    <n v="237864"/>
    <n v="8162158"/>
    <n v="3.89"/>
    <s v="Long-term"/>
    <n v="294084"/>
    <n v="0.30000000000000004"/>
    <n v="-444042"/>
    <n v="317507.94620000001"/>
    <n v="8162158"/>
    <n v="-1.3985224789312689"/>
    <n v="-761549.94620000001"/>
    <n v="-444042"/>
    <n v="2.6374056847480332E-2"/>
    <n v="-3.0666244369806934E-2"/>
    <n v="0.25875826677953451"/>
    <n v="0.57699999999999996"/>
    <x v="0"/>
    <n v="0.56369156929518971"/>
    <n v="420120"/>
    <n v="126036"/>
    <n v="0.3"/>
    <n v="7.4595366393026774E-2"/>
  </r>
  <r>
    <s v="P021"/>
    <x v="0"/>
    <x v="2"/>
    <n v="2018"/>
    <n v="17326084"/>
    <n v="20792269.329999998"/>
    <n v="45"/>
    <n v="45"/>
    <n v="3261"/>
    <n v="644442"/>
    <n v="285760"/>
    <n v="2598965"/>
    <n v="3.77"/>
    <s v="Long-term"/>
    <n v="1760940"/>
    <n v="0"/>
    <n v="830738"/>
    <n v="97980.980499999991"/>
    <n v="2598965"/>
    <n v="8.478563857604998"/>
    <n v="732757.01950000005"/>
    <n v="830738"/>
    <n v="0.10163519927526612"/>
    <n v="3.9954176565103201E-2"/>
    <n v="0.24800314543090049"/>
    <n v="0.55700000000000005"/>
    <x v="0"/>
    <n v="0.124996697510555"/>
    <n v="1760940"/>
    <n v="0"/>
    <n v="0"/>
    <n v="7.2882360141172109E-2"/>
  </r>
  <r>
    <s v="P098"/>
    <x v="1"/>
    <x v="1"/>
    <n v="2013"/>
    <n v="19651777"/>
    <n v="18798416.52"/>
    <n v="76"/>
    <n v="75"/>
    <n v="5968"/>
    <n v="840369"/>
    <n v="389476"/>
    <n v="3280662"/>
    <n v="6.03"/>
    <s v="Short-term"/>
    <n v="5371200"/>
    <n v="1.3157894736842146E-2"/>
    <n v="4141355"/>
    <n v="197823.9186"/>
    <n v="3280662"/>
    <n v="20.93455144002996"/>
    <n v="3943531.0814"/>
    <n v="4141355"/>
    <n v="0.27331879452937002"/>
    <n v="0.22030339606497878"/>
    <n v="0.16731283486475546"/>
    <n v="0.40200000000000002"/>
    <x v="0"/>
    <n v="0.17451799711479105"/>
    <n v="5442816"/>
    <n v="71616"/>
    <n v="1.3157894736842105E-2"/>
    <n v="7.1948933338377319E-2"/>
  </r>
  <r>
    <s v="P114"/>
    <x v="2"/>
    <x v="3"/>
    <n v="2015"/>
    <n v="23083289"/>
    <n v="28334462.300000001"/>
    <n v="50"/>
    <n v="50"/>
    <n v="5214"/>
    <n v="526450"/>
    <n v="354025"/>
    <n v="3620089"/>
    <n v="6.79"/>
    <s v="Short-term"/>
    <n v="3128400"/>
    <n v="0"/>
    <n v="2247925"/>
    <n v="245804.04310000001"/>
    <n v="3620089"/>
    <n v="9.1451913143897343"/>
    <n v="2002120.9569000001"/>
    <n v="2247925"/>
    <n v="0.13552661407999528"/>
    <n v="7.9335368224016017E-2"/>
    <n v="0.32487130841709777"/>
    <n v="0.72399999999999998"/>
    <x v="0"/>
    <n v="0.12776275623906932"/>
    <n v="3128400"/>
    <n v="0"/>
    <n v="0"/>
    <n v="7.113295197820789E-2"/>
  </r>
  <r>
    <s v="P080"/>
    <x v="1"/>
    <x v="3"/>
    <n v="2014"/>
    <n v="24131530"/>
    <n v="25247544.850000001"/>
    <n v="17"/>
    <n v="11"/>
    <n v="1522"/>
    <n v="803848"/>
    <n v="194411"/>
    <n v="6545554"/>
    <n v="7.39"/>
    <s v="Short-term"/>
    <n v="200904"/>
    <n v="0.3529411764705882"/>
    <n v="-797355"/>
    <n v="483716.44059999997"/>
    <n v="6545554"/>
    <n v="-1.6483934244843197"/>
    <n v="-1281071.4405999999"/>
    <n v="-797355"/>
    <n v="8.3253734843998697E-3"/>
    <n v="-3.1581486625223282E-2"/>
    <n v="1.3205124167427489E-2"/>
    <n v="0.17399999999999999"/>
    <x v="0"/>
    <n v="0.25925506970631246"/>
    <n v="310488"/>
    <n v="109584"/>
    <n v="0.35294117647058826"/>
    <n v="3.6957604025290358E-2"/>
  </r>
  <r>
    <s v="P003"/>
    <x v="3"/>
    <x v="3"/>
    <n v="2021"/>
    <n v="9065042"/>
    <n v="9012894.9299999997"/>
    <n v="16"/>
    <n v="15"/>
    <n v="1987"/>
    <n v="605985"/>
    <n v="265835"/>
    <n v="3657895"/>
    <n v="6.18"/>
    <s v="Short-term"/>
    <n v="357660"/>
    <n v="6.25E-2"/>
    <n v="-514160"/>
    <n v="226057.91099999996"/>
    <n v="3657895"/>
    <n v="-2.2744614321416075"/>
    <n v="-740217.91099999996"/>
    <n v="-514160"/>
    <n v="3.9454864081159252E-2"/>
    <n v="-5.7047153438856302E-2"/>
    <n v="-6.2471532950426518E-2"/>
    <n v="5.2999999999999999E-2"/>
    <x v="1"/>
    <n v="0.40585128623040545"/>
    <n v="381504"/>
    <n v="23844"/>
    <n v="6.25E-2"/>
    <n v="1.4856029054122422E-2"/>
  </r>
  <r>
    <s v="P118"/>
    <x v="0"/>
    <x v="0"/>
    <n v="2015"/>
    <n v="19163223"/>
    <n v="21487620.239999998"/>
    <n v="15"/>
    <n v="14"/>
    <n v="1882"/>
    <n v="685053"/>
    <n v="416203"/>
    <n v="7451646"/>
    <n v="4.1500000000000004"/>
    <s v="Long-term"/>
    <n v="316176"/>
    <n v="6.6666666666666652E-2"/>
    <n v="-785080"/>
    <n v="309243.30900000001"/>
    <n v="7451646"/>
    <n v="-2.5387129717978798"/>
    <n v="-1094323.3089999999"/>
    <n v="-785080"/>
    <n v="1.6499103517190195E-2"/>
    <n v="-3.6536386590570166E-2"/>
    <n v="8.0326636077866359E-2"/>
    <n v="0.29499999999999998"/>
    <x v="0"/>
    <n v="0.34678786746838003"/>
    <n v="338760"/>
    <n v="22584"/>
    <n v="6.6666666666666666E-2"/>
    <n v="1.2532913415561994E-2"/>
  </r>
  <r>
    <s v="P073"/>
    <x v="2"/>
    <x v="1"/>
    <n v="2016"/>
    <n v="10365070"/>
    <n v="11104739.18"/>
    <n v="21"/>
    <n v="21"/>
    <n v="2469"/>
    <n v="823384"/>
    <n v="493053"/>
    <n v="4870247"/>
    <n v="5.81"/>
    <s v="Short-term"/>
    <n v="622188"/>
    <n v="0"/>
    <n v="-694249"/>
    <n v="282961.35070000001"/>
    <n v="4870247"/>
    <n v="-2.4535117544588396"/>
    <n v="-977210.35070000007"/>
    <n v="-694249"/>
    <n v="6.002738042290115E-2"/>
    <n v="-6.2518262585614368E-2"/>
    <n v="4.38204276478593E-3"/>
    <n v="0.161"/>
    <x v="0"/>
    <n v="0.43857374054957321"/>
    <n v="622188"/>
    <n v="0"/>
    <n v="0"/>
    <n v="9.2984059477798225E-3"/>
  </r>
  <r>
    <s v="P048"/>
    <x v="1"/>
    <x v="1"/>
    <n v="2012"/>
    <n v="20165646"/>
    <n v="20207851.960000001"/>
    <n v="18"/>
    <n v="13"/>
    <n v="1768"/>
    <n v="771303"/>
    <n v="381263"/>
    <n v="14631401"/>
    <n v="6.41"/>
    <s v="Long-term"/>
    <n v="275808"/>
    <n v="0.27777777777777779"/>
    <n v="-876758"/>
    <n v="937872.80410000007"/>
    <n v="14631401"/>
    <n v="-0.93483678827999817"/>
    <n v="-1814630.8041000001"/>
    <n v="-876758"/>
    <n v="1.3677121972685625E-2"/>
    <n v="-4.3386996388110909E-2"/>
    <n v="-4.138484033687783E-2"/>
    <n v="0.08"/>
    <x v="1"/>
    <n v="0.72404533786974556"/>
    <n v="381888"/>
    <n v="106080"/>
    <n v="0.27777777777777779"/>
    <n v="7.4130798094300121E-3"/>
  </r>
  <r>
    <s v="P095"/>
    <x v="4"/>
    <x v="1"/>
    <n v="2018"/>
    <n v="13671517"/>
    <n v="15083610.289999999"/>
    <n v="35"/>
    <n v="26"/>
    <n v="2452"/>
    <n v="827484"/>
    <n v="306002"/>
    <n v="2523990"/>
    <n v="7.47"/>
    <s v="Short-term"/>
    <n v="765024"/>
    <n v="0.25714285714285712"/>
    <n v="-368462"/>
    <n v="188542.05300000001"/>
    <n v="2523990"/>
    <n v="-1.9542695867430699"/>
    <n v="-557004.05300000007"/>
    <n v="-368462"/>
    <n v="5.5957506398156109E-2"/>
    <n v="-2.4427971348761228E-2"/>
    <n v="7.6336173227886786E-2"/>
    <n v="0.28799999999999998"/>
    <x v="0"/>
    <n v="0.1673332810562822"/>
    <n v="1029840"/>
    <n v="264816"/>
    <n v="0.25714285714285712"/>
    <n v="-4.529115816650775E-4"/>
  </r>
  <r>
    <s v="P105"/>
    <x v="3"/>
    <x v="3"/>
    <n v="2013"/>
    <n v="12661161"/>
    <n v="12437875.82"/>
    <n v="55"/>
    <n v="44"/>
    <n v="2033"/>
    <n v="892694"/>
    <n v="463629"/>
    <n v="13875228"/>
    <n v="3.97"/>
    <s v="Short-term"/>
    <n v="1073424"/>
    <n v="0.19999999999999996"/>
    <n v="-282899"/>
    <n v="395026.93604320002"/>
    <n v="9950300.6560000014"/>
    <n v="-0.71615116385142463"/>
    <n v="-677925.93604320008"/>
    <n v="-282899"/>
    <n v="8.4780850666064514E-2"/>
    <n v="-2.274496096392125E-2"/>
    <n v="-3.9979286259767148E-2"/>
    <n v="8.6999999999999994E-2"/>
    <x v="1"/>
    <n v="1.1155625125062552"/>
    <n v="1341780"/>
    <n v="268356"/>
    <n v="0.2"/>
    <n v="-4.2372190969494627E-3"/>
  </r>
  <r>
    <s v="P017"/>
    <x v="0"/>
    <x v="3"/>
    <n v="2018"/>
    <n v="23346942"/>
    <n v="25745730.91"/>
    <n v="27"/>
    <n v="22"/>
    <n v="1990"/>
    <n v="837477"/>
    <n v="492734"/>
    <n v="7038046"/>
    <n v="7.41"/>
    <s v="Short-term"/>
    <n v="525360"/>
    <n v="0.18518518518518523"/>
    <n v="-804851"/>
    <n v="521519.20860000001"/>
    <n v="7038046"/>
    <n v="-1.543281602533096"/>
    <n v="-1326370.2086"/>
    <n v="-804851"/>
    <n v="2.250230458447192E-2"/>
    <n v="-3.1261532360978131E-2"/>
    <n v="6.8271806646026709E-2"/>
    <n v="0.255"/>
    <x v="0"/>
    <n v="0.2733674963279572"/>
    <n v="644760"/>
    <n v="119400"/>
    <n v="0.18518518518518517"/>
    <n v="-3.8306642038453798E-2"/>
  </r>
  <r>
    <s v="P136"/>
    <x v="0"/>
    <x v="1"/>
    <n v="2012"/>
    <n v="7715755"/>
    <n v="7352123.3899999997"/>
    <n v="25"/>
    <n v="22"/>
    <n v="2175"/>
    <n v="444731"/>
    <n v="439428"/>
    <n v="3338402"/>
    <n v="7.35"/>
    <s v="Long-term"/>
    <n v="574200"/>
    <n v="0.12"/>
    <n v="-309959"/>
    <n v="245372.54699999999"/>
    <n v="3338402"/>
    <n v="-1.2632179263314245"/>
    <n v="-555331.54700000002"/>
    <n v="-309959"/>
    <n v="7.4419159239763319E-2"/>
    <n v="-4.2159112892690448E-2"/>
    <n v="-8.7300673751305E-2"/>
    <n v="0.02"/>
    <x v="1"/>
    <n v="0.4540731735461257"/>
    <n v="652500"/>
    <n v="78300"/>
    <n v="0.12"/>
    <n v="-5.3266761282120989E-2"/>
  </r>
  <r>
    <s v="P062"/>
    <x v="2"/>
    <x v="3"/>
    <n v="2020"/>
    <n v="16220104"/>
    <n v="16182871.01"/>
    <n v="16"/>
    <n v="14"/>
    <n v="3062"/>
    <n v="625503"/>
    <n v="419044"/>
    <n v="6387171"/>
    <n v="6.81"/>
    <s v="Long-term"/>
    <n v="514416"/>
    <n v="0.125"/>
    <n v="-530131"/>
    <n v="434966.34509999998"/>
    <n v="6387171"/>
    <n v="-1.2187862485731429"/>
    <n v="-965097.34510000004"/>
    <n v="-530131"/>
    <n v="3.1714716502434265E-2"/>
    <n v="-3.275877312946586E-2"/>
    <n v="-3.4979059936976989E-2"/>
    <n v="0.114"/>
    <x v="0"/>
    <n v="0.39468713530826072"/>
    <n v="587904"/>
    <n v="73488"/>
    <n v="0.125"/>
    <n v="-7.7740384568283888E-2"/>
  </r>
  <r>
    <s v="P002"/>
    <x v="0"/>
    <x v="1"/>
    <n v="2015"/>
    <n v="24878928"/>
    <n v="24646591.379999999"/>
    <n v="26"/>
    <n v="18"/>
    <n v="1640"/>
    <n v="344547"/>
    <n v="121867"/>
    <n v="2511407"/>
    <n v="3.6"/>
    <s v="Long-term"/>
    <n v="354240"/>
    <n v="0.30769230769230771"/>
    <n v="-112174"/>
    <n v="90410.652000000016"/>
    <n v="2511407"/>
    <n v="-1.2407166359114408"/>
    <n v="-202584.652"/>
    <n v="-112174"/>
    <n v="1.4238555616222693E-2"/>
    <n v="-4.5512987281083415E-3"/>
    <n v="-1.3847486515496207E-2"/>
    <n v="0.14000000000000001"/>
    <x v="0"/>
    <n v="0.10189672727069005"/>
    <n v="511680"/>
    <n v="157440"/>
    <n v="0.30769230769230771"/>
    <n v="-8.8149801070751876E-2"/>
  </r>
  <r>
    <s v="P140"/>
    <x v="2"/>
    <x v="3"/>
    <n v="2011"/>
    <n v="14148867"/>
    <n v="16445205.460000001"/>
    <n v="18"/>
    <n v="14"/>
    <n v="2102"/>
    <n v="454683"/>
    <n v="368593"/>
    <n v="7037294"/>
    <n v="6.95"/>
    <s v="Long-term"/>
    <n v="353136"/>
    <n v="0.22222222222222221"/>
    <n v="-470140"/>
    <n v="489091.93300000002"/>
    <n v="7037294"/>
    <n v="-0.9612507757309503"/>
    <n v="-959231.93299999996"/>
    <n v="-470140"/>
    <n v="2.4958606226208786E-2"/>
    <n v="-2.8588271587334731E-2"/>
    <n v="0.12907029658275823"/>
    <n v="0.36199999999999999"/>
    <x v="0"/>
    <n v="0.42792375061028881"/>
    <n v="454032"/>
    <n v="100896"/>
    <n v="0.22222222222222221"/>
    <n v="-9.4827362156381989E-2"/>
  </r>
  <r>
    <s v="P122"/>
    <x v="4"/>
    <x v="0"/>
    <n v="2011"/>
    <n v="23150380"/>
    <n v="22817112.030000001"/>
    <n v="11"/>
    <n v="7"/>
    <n v="4535"/>
    <n v="757042"/>
    <n v="130819"/>
    <n v="10166381"/>
    <n v="7.1"/>
    <s v="Short-term"/>
    <n v="380940"/>
    <n v="0.36363636363636365"/>
    <n v="-506921"/>
    <n v="721813.05099999998"/>
    <n v="10166381"/>
    <n v="-0.70228849325696108"/>
    <n v="-1228734.051"/>
    <n v="-506921"/>
    <n v="1.6455021472649694E-2"/>
    <n v="-2.2216702943540747E-2"/>
    <n v="-3.6292664310477792E-2"/>
    <n v="0.1"/>
    <x v="1"/>
    <n v="0.445559498793415"/>
    <n v="598620"/>
    <n v="217680"/>
    <n v="0.36363636363636365"/>
    <n v="-0.14805248087429668"/>
  </r>
  <r>
    <s v="P116"/>
    <x v="3"/>
    <x v="1"/>
    <n v="2019"/>
    <n v="20520628"/>
    <n v="26745140.260000002"/>
    <n v="18"/>
    <n v="15"/>
    <n v="3224"/>
    <n v="596442"/>
    <n v="448361"/>
    <n v="8768049"/>
    <n v="5.56"/>
    <s v="Short-term"/>
    <n v="580320"/>
    <n v="0.16666666666666663"/>
    <n v="-464483"/>
    <n v="487503.52439999999"/>
    <n v="8768049"/>
    <n v="-0.9527787528750018"/>
    <n v="-951986.52439999999"/>
    <n v="-464483"/>
    <n v="2.8279836270118049E-2"/>
    <n v="-1.7367005575015818E-2"/>
    <n v="0.2806945898536829"/>
    <n v="0.63"/>
    <x v="0"/>
    <n v="0.32783709170198233"/>
    <n v="696384"/>
    <n v="116064"/>
    <n v="0.16666666666666666"/>
    <n v="-0.14985068824297787"/>
  </r>
  <r>
    <s v="P011"/>
    <x v="4"/>
    <x v="2"/>
    <n v="2017"/>
    <n v="10060448"/>
    <n v="11438842.4"/>
    <n v="27"/>
    <n v="18"/>
    <n v="2155"/>
    <n v="349752"/>
    <n v="329936"/>
    <n v="4494130"/>
    <n v="6.64"/>
    <s v="Long-term"/>
    <n v="465480"/>
    <n v="0.33333333333333337"/>
    <n v="-214208"/>
    <n v="298410.23200000002"/>
    <n v="4494130"/>
    <n v="-0.71783061379745183"/>
    <n v="-512618.23200000002"/>
    <n v="-214208"/>
    <n v="4.6268317275731656E-2"/>
    <n v="-1.8726370423636573E-2"/>
    <n v="0.11571914093686488"/>
    <n v="0.34799999999999998"/>
    <x v="0"/>
    <n v="0.39288328686126489"/>
    <n v="698220"/>
    <n v="232740"/>
    <n v="0.33333333333333331"/>
    <n v="-0.1667275731986666"/>
  </r>
  <r>
    <s v="P030"/>
    <x v="4"/>
    <x v="1"/>
    <n v="2014"/>
    <n v="14139981"/>
    <n v="18756101.949999999"/>
    <n v="35"/>
    <n v="35"/>
    <n v="1741"/>
    <n v="847223"/>
    <n v="437508"/>
    <n v="13420695"/>
    <n v="6.28"/>
    <s v="Short-term"/>
    <n v="731220"/>
    <n v="0"/>
    <n v="-553511"/>
    <n v="842819.64600000007"/>
    <n v="13420695"/>
    <n v="-0.65673718289191374"/>
    <n v="-1396330.6460000002"/>
    <n v="-553511"/>
    <n v="5.1712940774107125E-2"/>
    <n v="-2.9510982691155613E-2"/>
    <n v="0.28731367814426334"/>
    <n v="0.63700000000000001"/>
    <x v="0"/>
    <n v="0.71553753737193782"/>
    <n v="731220"/>
    <n v="0"/>
    <n v="0"/>
    <n v="-0.24214247674484587"/>
  </r>
  <r>
    <s v="P023"/>
    <x v="0"/>
    <x v="0"/>
    <n v="2011"/>
    <n v="12699586"/>
    <n v="15190354.4"/>
    <n v="12"/>
    <n v="12"/>
    <n v="2546"/>
    <n v="493526"/>
    <n v="200199"/>
    <n v="5828935"/>
    <n v="7.04"/>
    <s v="Short-term"/>
    <n v="366624"/>
    <n v="0"/>
    <n v="-327101"/>
    <n v="410357.02400000003"/>
    <n v="5828935"/>
    <n v="-0.79711319867647734"/>
    <n v="-737458.02399999998"/>
    <n v="-327101"/>
    <n v="2.886897257910612E-2"/>
    <n v="-2.1533467316601908E-2"/>
    <n v="0.17037306570466157"/>
    <n v="0.41599999999999998"/>
    <x v="0"/>
    <n v="0.38372607027522676"/>
    <n v="366624"/>
    <n v="0"/>
    <n v="0"/>
    <n v="-0.26124026770346448"/>
  </r>
  <r>
    <s v="P131"/>
    <x v="0"/>
    <x v="0"/>
    <n v="2012"/>
    <n v="7993366"/>
    <n v="10513145.939999999"/>
    <n v="34"/>
    <n v="29"/>
    <n v="2448"/>
    <n v="803715"/>
    <n v="251894"/>
    <n v="5638725"/>
    <n v="5.9"/>
    <s v="Long-term"/>
    <n v="851904"/>
    <n v="0.1470588235294118"/>
    <n v="-203705"/>
    <n v="332684.77500000002"/>
    <n v="5638725"/>
    <n v="-0.61230634915589388"/>
    <n v="-536389.77500000002"/>
    <n v="-203705"/>
    <n v="0.10657637846183948"/>
    <n v="-1.9376217277166419E-2"/>
    <n v="0.28974964239095263"/>
    <n v="0.65700000000000003"/>
    <x v="0"/>
    <n v="0.5363499215345241"/>
    <n v="998784"/>
    <n v="146880"/>
    <n v="0.14705882352941177"/>
    <n v="-0.2702223176226376"/>
  </r>
  <r>
    <s v="P065"/>
    <x v="4"/>
    <x v="1"/>
    <n v="2016"/>
    <n v="15657512"/>
    <n v="17652628.77"/>
    <n v="26"/>
    <n v="21"/>
    <n v="2388"/>
    <n v="768700"/>
    <n v="164349"/>
    <n v="12705131"/>
    <n v="5.14"/>
    <s v="Short-term"/>
    <n v="601776"/>
    <n v="0.19230769230769229"/>
    <n v="-331273"/>
    <n v="653043.73339999991"/>
    <n v="12705131"/>
    <n v="-0.50727536772348125"/>
    <n v="-984316.73339999991"/>
    <n v="-331273"/>
    <n v="3.8433692402726566E-2"/>
    <n v="-1.876621348107577E-2"/>
    <n v="0.10626488870006931"/>
    <n v="0.32800000000000001"/>
    <x v="0"/>
    <n v="0.7197302546571368"/>
    <n v="745056"/>
    <n v="143280"/>
    <n v="0.19230769230769232"/>
    <n v="-0.29855261782020087"/>
  </r>
  <r>
    <s v="P013"/>
    <x v="4"/>
    <x v="1"/>
    <n v="2014"/>
    <n v="24798414"/>
    <n v="32241083.140000001"/>
    <n v="15"/>
    <n v="15"/>
    <n v="2833"/>
    <n v="466805"/>
    <n v="213171"/>
    <n v="6998180"/>
    <n v="3.53"/>
    <s v="Short-term"/>
    <n v="509940"/>
    <n v="0"/>
    <n v="-170036"/>
    <n v="247035.75399999999"/>
    <n v="6998180"/>
    <n v="-0.68830522402842143"/>
    <n v="-417071.75399999996"/>
    <n v="-170036"/>
    <n v="2.0563411837547351E-2"/>
    <n v="-5.2738922964112303E-3"/>
    <n v="0.293270091385683"/>
    <n v="0.67100000000000004"/>
    <x v="0"/>
    <n v="0.21705784416770063"/>
    <n v="509940"/>
    <n v="0"/>
    <n v="0"/>
    <n v="-0.37073579667088297"/>
  </r>
  <r>
    <s v="P088"/>
    <x v="3"/>
    <x v="0"/>
    <n v="2012"/>
    <n v="13911567"/>
    <n v="17962089.59"/>
    <n v="21"/>
    <n v="19"/>
    <n v="1816"/>
    <n v="373749"/>
    <n v="437221"/>
    <n v="13809331"/>
    <n v="6.15"/>
    <s v="Long-term"/>
    <n v="414048"/>
    <n v="9.5238095238095233E-2"/>
    <n v="-396922"/>
    <n v="849273.85650000011"/>
    <n v="13809331"/>
    <n v="-0.46736632355054714"/>
    <n v="-1246195.8565000002"/>
    <n v="-396922"/>
    <n v="2.9762858490348355E-2"/>
    <n v="-2.2097763069892359E-2"/>
    <n v="0.26263041323813485"/>
    <n v="0.59"/>
    <x v="0"/>
    <n v="0.76880426026201554"/>
    <n v="457632"/>
    <n v="43584"/>
    <n v="9.5238095238095233E-2"/>
    <n v="-0.37315825647670331"/>
  </r>
  <r>
    <s v="P097"/>
    <x v="3"/>
    <x v="1"/>
    <n v="2011"/>
    <n v="7552416"/>
    <n v="6801429.3700000001"/>
    <n v="40"/>
    <n v="34"/>
    <n v="1649"/>
    <n v="432469"/>
    <n v="321288"/>
    <n v="6475298"/>
    <n v="4.1500000000000004"/>
    <s v="Short-term"/>
    <n v="672792"/>
    <n v="0.15000000000000002"/>
    <n v="-80965"/>
    <n v="225807.45508400002"/>
    <n v="5441143.4960000003"/>
    <n v="-0.35855769230418522"/>
    <n v="-306772.45508400002"/>
    <n v="-80965"/>
    <n v="8.9083016613491633E-2"/>
    <n v="-1.190411538449895E-2"/>
    <n v="-0.11015701862821115"/>
    <n v="1.2999999999999999E-2"/>
    <x v="1"/>
    <n v="0.95204958365979475"/>
    <n v="791520"/>
    <n v="118728"/>
    <n v="0.15"/>
    <n v="-0.49107056336559529"/>
  </r>
  <r>
    <s v="P117"/>
    <x v="3"/>
    <x v="2"/>
    <n v="2018"/>
    <n v="24489027"/>
    <n v="30291942.559999999"/>
    <n v="13"/>
    <n v="10"/>
    <n v="4603"/>
    <n v="357675"/>
    <n v="442030"/>
    <n v="9203337"/>
    <n v="7.35"/>
    <s v="Long-term"/>
    <n v="552360"/>
    <n v="0.23076923076923073"/>
    <n v="-247345"/>
    <n v="676445.26949999994"/>
    <n v="9203337"/>
    <n v="-0.36565412037374007"/>
    <n v="-923790.26949999994"/>
    <n v="-247345"/>
    <n v="2.2555408183428438E-2"/>
    <n v="-8.1653726732802846E-3"/>
    <n v="0.22685958735722733"/>
    <n v="0.496"/>
    <x v="0"/>
    <n v="0.30382128784810425"/>
    <n v="718068"/>
    <n v="165708"/>
    <n v="0.23076923076923078"/>
    <n v="-0.6369933969286502"/>
  </r>
  <r>
    <s v="P039"/>
    <x v="0"/>
    <x v="1"/>
    <n v="2018"/>
    <n v="15338795"/>
    <n v="19112173.649999999"/>
    <n v="11"/>
    <n v="9"/>
    <n v="5949"/>
    <n v="577183"/>
    <n v="243385"/>
    <n v="11094548"/>
    <n v="5.92"/>
    <s v="Short-term"/>
    <n v="642492"/>
    <n v="0.18181818181818177"/>
    <n v="-178076"/>
    <n v="656797.24160000007"/>
    <n v="11094548"/>
    <n v="-0.27112781345761361"/>
    <n v="-834873.24160000007"/>
    <n v="-178076"/>
    <n v="4.1886732301983302E-2"/>
    <n v="-9.3174122033994819E-3"/>
    <n v="0.23439277009699905"/>
    <n v="0.51600000000000001"/>
    <x v="0"/>
    <n v="0.58049640000000735"/>
    <n v="785268"/>
    <n v="142776"/>
    <n v="0.18181818181818182"/>
    <n v="-0.8596130168237035"/>
  </r>
  <r>
    <s v="P079"/>
    <x v="0"/>
    <x v="0"/>
    <n v="2016"/>
    <n v="7711163"/>
    <n v="8943714.9800000004"/>
    <n v="20"/>
    <n v="14"/>
    <n v="4519"/>
    <n v="448101"/>
    <n v="407818"/>
    <n v="11004789"/>
    <n v="6.54"/>
    <s v="Long-term"/>
    <n v="759192"/>
    <n v="0.30000000000000004"/>
    <n v="-96727"/>
    <n v="467935.16775360005"/>
    <n v="7154971.9840000011"/>
    <n v="-0.20671025959505013"/>
    <n v="-564662.16775360005"/>
    <n v="-96727"/>
    <n v="9.8453631443142883E-2"/>
    <n v="-1.0815080782013023E-2"/>
    <n v="0.14729619643625746"/>
    <n v="0.375"/>
    <x v="0"/>
    <n v="1.2304494300868249"/>
    <n v="1084560"/>
    <n v="325368"/>
    <n v="0.3"/>
    <n v="-0.96217194494688685"/>
  </r>
  <r>
    <s v="P058"/>
    <x v="4"/>
    <x v="2"/>
    <n v="2016"/>
    <n v="17413257"/>
    <n v="19410764.09"/>
    <n v="22"/>
    <n v="15"/>
    <n v="4412"/>
    <n v="743783"/>
    <n v="217301"/>
    <n v="12172956"/>
    <n v="5.94"/>
    <s v="Short-term"/>
    <n v="794160"/>
    <n v="0.31818181818181823"/>
    <n v="-166924"/>
    <n v="723073.58640000003"/>
    <n v="12172956"/>
    <n v="-0.230853405710852"/>
    <n v="-889997.58640000003"/>
    <n v="-166924"/>
    <n v="4.560663177485981E-2"/>
    <n v="-8.5995584319112708E-3"/>
    <n v="0.10512582970549392"/>
    <n v="0.32200000000000001"/>
    <x v="0"/>
    <n v="0.62712399901203475"/>
    <n v="1164768"/>
    <n v="370608"/>
    <n v="0.31818181818181818"/>
    <n v="-0.98411606041912369"/>
  </r>
  <r>
    <s v="P141"/>
    <x v="1"/>
    <x v="0"/>
    <n v="2012"/>
    <n v="17954306"/>
    <n v="19437190.399999999"/>
    <n v="11"/>
    <n v="11"/>
    <n v="5710"/>
    <n v="457295"/>
    <n v="438873"/>
    <n v="9175830"/>
    <n v="5.9"/>
    <s v="Short-term"/>
    <n v="753720"/>
    <n v="0"/>
    <n v="-142448"/>
    <n v="541373.97000000009"/>
    <n v="9175830"/>
    <n v="-0.26312310508759773"/>
    <n v="-683821.97000000009"/>
    <n v="-142448"/>
    <n v="4.1979901645878157E-2"/>
    <n v="-7.3286311997026081E-3"/>
    <n v="7.4658212910039434E-2"/>
    <n v="0.27500000000000002"/>
    <x v="0"/>
    <n v="0.47207594365078609"/>
    <n v="753720"/>
    <n v="0"/>
    <n v="0"/>
    <n v="-0.99852794559172364"/>
  </r>
  <r>
    <s v="P096"/>
    <x v="4"/>
    <x v="0"/>
    <n v="2019"/>
    <n v="18712591"/>
    <n v="19766821.559999999"/>
    <n v="21"/>
    <n v="15"/>
    <n v="4871"/>
    <n v="785975"/>
    <n v="142200"/>
    <n v="3938400"/>
    <n v="5.48"/>
    <s v="Short-term"/>
    <n v="876780"/>
    <n v="0.2857142857142857"/>
    <n v="-51395"/>
    <n v="215824.32"/>
    <n v="3938400"/>
    <n v="-0.23813349672548487"/>
    <n v="-267219.32"/>
    <n v="-51395"/>
    <n v="4.6855082762189373E-2"/>
    <n v="-2.600063942702987E-3"/>
    <n v="5.3591486074803789E-2"/>
    <n v="0.221"/>
    <x v="0"/>
    <n v="0.1992429581076261"/>
    <n v="1227492"/>
    <n v="350712"/>
    <n v="0.2857142857142857"/>
    <n v="-1.0857389661387933"/>
  </r>
  <r>
    <s v="P056"/>
    <x v="4"/>
    <x v="3"/>
    <n v="2011"/>
    <n v="5263087"/>
    <n v="6270091.5300000003"/>
    <n v="17"/>
    <n v="17"/>
    <n v="4901"/>
    <n v="579082"/>
    <n v="466286"/>
    <n v="2968560"/>
    <n v="6.9"/>
    <s v="Short-term"/>
    <n v="999804"/>
    <n v="0"/>
    <n v="-45564"/>
    <n v="204830.64"/>
    <n v="2968560"/>
    <n v="-0.22244718856514825"/>
    <n v="-250394.64"/>
    <n v="-45564"/>
    <n v="0.18996531883284468"/>
    <n v="-7.266879563399292E-3"/>
    <n v="0.18267616134789341"/>
    <n v="0.442"/>
    <x v="0"/>
    <n v="0.47344763402520856"/>
    <n v="999804"/>
    <n v="0"/>
    <n v="0"/>
    <n v="-1.20660042140687"/>
  </r>
  <r>
    <s v="P094"/>
    <x v="1"/>
    <x v="2"/>
    <n v="2020"/>
    <n v="20652670"/>
    <n v="21832710.18"/>
    <n v="32"/>
    <n v="30"/>
    <n v="1625"/>
    <n v="257493"/>
    <n v="442531"/>
    <n v="13219752"/>
    <n v="5.86"/>
    <s v="Long-term"/>
    <n v="585000"/>
    <n v="6.25E-2"/>
    <n v="-115024"/>
    <n v="774677.46720000007"/>
    <n v="13219752"/>
    <n v="-0.1484798575796242"/>
    <n v="-889701.46720000007"/>
    <n v="-115024"/>
    <n v="2.8325635377895449E-2"/>
    <n v="-5.2684251772539218E-3"/>
    <n v="5.1567965788442839E-2"/>
    <n v="0.214"/>
    <x v="0"/>
    <n v="0.60550210628958201"/>
    <n v="624000"/>
    <n v="39000"/>
    <n v="6.25E-2"/>
    <n v="-1.8138254440624921"/>
  </r>
  <r>
    <s v="P147"/>
    <x v="1"/>
    <x v="0"/>
    <n v="2017"/>
    <n v="22932931"/>
    <n v="24255836.359999999"/>
    <n v="19"/>
    <n v="17"/>
    <n v="5842"/>
    <n v="874024"/>
    <n v="350878"/>
    <n v="4961795"/>
    <n v="6.98"/>
    <s v="Long-term"/>
    <n v="1191768"/>
    <n v="0.10526315789473684"/>
    <n v="-33134"/>
    <n v="346333.29100000003"/>
    <n v="4961795"/>
    <n v="-9.5670849037726491E-2"/>
    <n v="-379467.29100000003"/>
    <n v="-33134"/>
    <n v="5.1967539604946267E-2"/>
    <n v="-1.3660217486724502E-3"/>
    <n v="5.6241016902723831E-2"/>
    <n v="0.22800000000000001"/>
    <x v="0"/>
    <n v="0.20456087047909158"/>
    <n v="1331976"/>
    <n v="140208"/>
    <n v="0.10526315789473684"/>
    <n v="-3.0322778881448076"/>
  </r>
  <r>
    <s v="P054"/>
    <x v="0"/>
    <x v="3"/>
    <n v="2012"/>
    <n v="7451126"/>
    <n v="6882757.9199999999"/>
    <n v="33"/>
    <n v="24"/>
    <n v="2746"/>
    <n v="505023"/>
    <n v="311008"/>
    <n v="14255329"/>
    <n v="5.81"/>
    <s v="Long-term"/>
    <n v="790848"/>
    <n v="0.27272727272727271"/>
    <n v="-25183"/>
    <n v="319910.58812159998"/>
    <n v="5506206.3360000001"/>
    <n v="-7.8718870006352484E-2"/>
    <n v="-345093.58812159998"/>
    <n v="-25183"/>
    <n v="0.10613805215480183"/>
    <n v="-3.6588530778952633E-3"/>
    <n v="-7.9659246132732162E-2"/>
    <n v="0.04"/>
    <x v="1"/>
    <n v="2.0711652459222334"/>
    <n v="1087416"/>
    <n v="296568"/>
    <n v="0.27272727272727271"/>
    <n v="-3.0805898326817993"/>
  </r>
  <r>
    <s v="P067"/>
    <x v="3"/>
    <x v="1"/>
    <n v="2020"/>
    <n v="16496892"/>
    <n v="22416478.52"/>
    <n v="35"/>
    <n v="26"/>
    <n v="2630"/>
    <n v="473578"/>
    <n v="367924"/>
    <n v="6091320"/>
    <n v="4.1900000000000004"/>
    <s v="Long-term"/>
    <n v="820560"/>
    <n v="0.25714285714285712"/>
    <n v="-20942"/>
    <n v="255226.30800000005"/>
    <n v="6091320"/>
    <n v="-8.2052669899530875E-2"/>
    <n v="-276168.30800000008"/>
    <n v="-20942"/>
    <n v="4.9740278350612954E-2"/>
    <n v="-9.3422345446968983E-4"/>
    <n v="0.35756095875514005"/>
    <n v="0.80500000000000005"/>
    <x v="0"/>
    <n v="0.27173402791902929"/>
    <n v="1104600"/>
    <n v="284040"/>
    <n v="0.25714285714285712"/>
    <n v="-3.4718108065362254"/>
  </r>
  <r>
    <s v="P008"/>
    <x v="1"/>
    <x v="0"/>
    <n v="2019"/>
    <n v="22426328"/>
    <n v="21633881.989999998"/>
    <n v="33"/>
    <n v="26"/>
    <n v="3107"/>
    <n v="718743"/>
    <n v="254324"/>
    <n v="6504403"/>
    <n v="6.1"/>
    <s v="Short-term"/>
    <n v="969384"/>
    <n v="0.21212121212121215"/>
    <n v="-3683"/>
    <n v="396768.58299999998"/>
    <n v="6504403"/>
    <n v="-9.2824889817448072E-3"/>
    <n v="-400451.58299999998"/>
    <n v="-3683"/>
    <n v="4.3225266303070213E-2"/>
    <n v="-1.7024221550725026E-4"/>
    <n v="-3.5499748777419182E-2"/>
    <n v="0.107"/>
    <x v="0"/>
    <n v="0.30065815293836684"/>
    <n v="1230372"/>
    <n v="260988"/>
    <n v="0.21212121212121213"/>
    <n v="-32.1438720437473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C7C40-1A42-494A-94BD-98FFF82C814A}" name="City_Level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E9" firstHeaderRow="0" firstDataRow="1" firstDataCol="1"/>
  <pivotFields count="32"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0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10" showAll="0"/>
    <pivotField dataField="1" numFmtId="10" showAll="0"/>
    <pivotField dataField="1" numFmtId="10" showAll="0"/>
    <pivotField numFmtId="2" showAll="0"/>
    <pivotField showAll="0"/>
    <pivotField numFmtId="10" showAll="0"/>
    <pivotField showAll="0"/>
    <pivotField numFmtId="164" showAll="0"/>
    <pivotField numFmtId="10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OI" fld="24" subtotal="average" baseField="0" baseItem="0" numFmtId="10"/>
    <dataField name="Average of Vacancy_%" fld="15" subtotal="average" baseField="0" baseItem="0" numFmtId="10"/>
    <dataField name="Average of DSCR" fld="19" subtotal="average" baseField="0" baseItem="0" numFmtId="2"/>
    <dataField name="Average of Cap Rate" fld="2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91B67-D165-409C-B906-4CE92AF9AAC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3:C39" firstHeaderRow="0" firstDataRow="1" firstDataCol="1"/>
  <pivotFields count="32"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0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0" showAll="0"/>
    <pivotField numFmtId="10" showAll="0"/>
    <pivotField dataField="1" numFmtId="10" showAll="0"/>
    <pivotField numFmtId="2" showAll="0"/>
    <pivotField showAll="0"/>
    <pivotField numFmtId="10" showAll="0"/>
    <pivotField showAll="0"/>
    <pivotField numFmtId="164" showAll="0"/>
    <pivotField dataField="1" numFmtId="10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acancy_Loss_%" fld="30" subtotal="average" baseField="0" baseItem="0" numFmtId="10"/>
    <dataField name="Average of ROI" fld="2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DE46E-0087-4F15-A940-1F6B3FDB3E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_Flag">
  <location ref="A28:D31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0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0" showAll="0"/>
    <pivotField numFmtId="10" showAll="0"/>
    <pivotField dataField="1" numFmtId="10" showAll="0"/>
    <pivotField numFmtId="2" showAll="0"/>
    <pivotField axis="axisRow" showAll="0">
      <items count="3">
        <item x="0"/>
        <item x="1"/>
        <item t="default"/>
      </items>
    </pivotField>
    <pivotField numFmtId="10" showAll="0"/>
    <pivotField showAll="0"/>
    <pivotField numFmtId="164" showAll="0"/>
    <pivotField dataField="1" numFmtId="10" showAll="0"/>
    <pivotField numFmtId="165" showAll="0"/>
  </pivotFields>
  <rowFields count="1">
    <field x="2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Vacancy_%" fld="15" subtotal="average" baseField="0" baseItem="0" numFmtId="10"/>
    <dataField name="Average of Vacancy_Loss_%" fld="30" subtotal="average" baseField="0" baseItem="0" numFmtId="10"/>
    <dataField name="Average of ROI" fld="2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90B8C-AA98-48E4-B939-2AE1940726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_Flag">
  <location ref="A22:E25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0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10" showAll="0"/>
    <pivotField dataField="1" numFmtId="10" showAll="0"/>
    <pivotField numFmtId="10" showAll="0"/>
    <pivotField numFmtId="2" showAll="0"/>
    <pivotField axis="axisRow" showAll="0">
      <items count="3">
        <item x="0"/>
        <item x="1"/>
        <item t="default"/>
      </items>
    </pivotField>
    <pivotField dataField="1" numFmtId="10" showAll="0"/>
    <pivotField showAll="0"/>
    <pivotField numFmtId="164" showAll="0"/>
    <pivotField numFmtId="10" showAll="0"/>
    <pivotField numFmtId="165" showAll="0"/>
  </pivotFields>
  <rowFields count="1">
    <field x="2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ebt_Ratio" fld="27" subtotal="average" baseField="0" baseItem="0" numFmtId="10"/>
    <dataField name="Average of DSCR" fld="19" subtotal="average" baseField="0" baseItem="0" numFmtId="2"/>
    <dataField name="Average of Vacancy_%" fld="15" subtotal="average" baseField="0" baseItem="0" numFmtId="10"/>
    <dataField name="Average of Cap Rate" fld="2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2947F-E24A-4993-89CB-CA1285DC5329}" name="Property Type Diagno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ype">
  <location ref="A13:D18" firstHeaderRow="0" firstDataRow="1" firstDataCol="1"/>
  <pivotFields count="32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0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10" showAll="0"/>
    <pivotField numFmtId="10" showAll="0"/>
    <pivotField dataField="1" numFmtId="10" showAll="0"/>
    <pivotField numFmtId="2" showAll="0"/>
    <pivotField showAll="0"/>
    <pivotField numFmtId="10" showAll="0"/>
    <pivotField showAll="0"/>
    <pivotField numFmtId="164" showAll="0"/>
    <pivotField numFmtId="10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OI" fld="24" subtotal="average" baseField="0" baseItem="0" numFmtId="10"/>
    <dataField name="Average of Vacancy_%" fld="15" subtotal="average" baseField="0" baseItem="0" numFmtId="10"/>
    <dataField name="Average of Net Operating Income (NOI)" fld="1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80528-E7E2-4193-AC1C-369F06AAA9A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I14:J20" firstHeaderRow="1" firstDataRow="1" firstDataCol="1"/>
  <pivotFields count="32"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0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0" showAll="0"/>
    <pivotField numFmtId="10" showAll="0"/>
    <pivotField numFmtId="10" showAll="0"/>
    <pivotField numFmtId="2" showAll="0"/>
    <pivotField showAll="0"/>
    <pivotField numFmtId="10" showAll="0"/>
    <pivotField showAll="0"/>
    <pivotField numFmtId="164" showAll="0"/>
    <pivotField numFmtId="10" showAll="0"/>
    <pivotField dataField="1"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isk_Score" fld="31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8BFDB-9170-47D7-8BE8-1CA52A98924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I3:M9" firstHeaderRow="0" firstDataRow="1" firstDataCol="1"/>
  <pivotFields count="32"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10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10" showAll="0"/>
    <pivotField numFmtId="10" showAll="0"/>
    <pivotField dataField="1" numFmtId="10" showAll="0"/>
    <pivotField numFmtId="2" showAll="0"/>
    <pivotField showAll="0"/>
    <pivotField dataField="1" numFmtId="10" showAll="0"/>
    <pivotField showAll="0"/>
    <pivotField numFmtId="164" showAll="0"/>
    <pivotField numFmtId="10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OI" fld="24" subtotal="average" baseField="0" baseItem="0" numFmtId="10"/>
    <dataField name="Average of Vacancy_%" fld="15" subtotal="average" baseField="0" baseItem="0" numFmtId="10"/>
    <dataField name="Average of Debt_Ratio" fld="27" subtotal="average" baseField="0" baseItem="0" numFmtId="10"/>
    <dataField name="Average of DSCR" fld="1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9DFE76-EA95-458F-A60A-D6F116E3F7AC}" name="Table7" displayName="Table7" ref="E15:F20" totalsRowShown="0" headerRowDxfId="2" tableBorderDxfId="1">
  <autoFilter ref="E15:F20" xr:uid="{A69DFE76-EA95-458F-A60A-D6F116E3F7AC}"/>
  <tableColumns count="2">
    <tableColumn id="1" xr3:uid="{FB0BF9FF-44F2-469C-BC21-A145E590A098}" name="Metric" dataDxfId="0"/>
    <tableColumn id="2" xr3:uid="{3DC07953-62A7-45D3-994D-F3101DA4E743}" name="Resul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3B0EE4-91DB-4763-973E-15446F32EDB5}" name="Table3" displayName="Table3" ref="A9:B18" totalsRowShown="0" headerRowDxfId="28">
  <autoFilter ref="A9:B18" xr:uid="{683B0EE4-91DB-4763-973E-15446F32EDB5}"/>
  <tableColumns count="2">
    <tableColumn id="1" xr3:uid="{FD83CEFD-88F1-4F54-852A-B9DC379FD968}" name="Scenario 1 - Reinvested Capital into Brisbane"/>
    <tableColumn id="2" xr3:uid="{51176DFB-6B71-46F9-802B-117348DA12A0}" name="Cash Flow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37AAC2-4530-4313-A5CD-A4480D84B4C7}" name="Table4" displayName="Table4" ref="A21:B32" totalsRowCount="1" headerRowDxfId="26">
  <autoFilter ref="A21:B31" xr:uid="{F237AAC2-4530-4313-A5CD-A4480D84B4C7}"/>
  <tableColumns count="2">
    <tableColumn id="1" xr3:uid="{F382A54D-61C0-41C1-B870-FCBFBC024671}" name="Recalculated_Reinvested_Capital - Brisbane" totalsRowLabel="5th Year NOI"/>
    <tableColumn id="2" xr3:uid="{7A98C6F4-85E1-4B9A-BF98-D32389A94CD0}" name="Cash Flow" totalsRowFunction="custom" dataDxfId="25" totalsRowDxfId="3">
      <calculatedColumnFormula>B21*(1+ 6.75%)</calculatedColumnFormula>
      <totalsRowFormula>B28*(1+ 6.75%)</totalsRow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DE4D1-7576-43F9-90EA-0FCD1E90E2D3}" name="PortfolioData" displayName="PortfolioData" ref="A1:AF151" totalsRowShown="0" headerRowDxfId="24">
  <autoFilter ref="A1:AF151" xr:uid="{C10DE4D1-7576-43F9-90EA-0FCD1E90E2D3}"/>
  <sortState xmlns:xlrd2="http://schemas.microsoft.com/office/spreadsheetml/2017/richdata2" ref="A2:AF151">
    <sortCondition descending="1" ref="AF1:AF151"/>
  </sortState>
  <tableColumns count="32">
    <tableColumn id="1" xr3:uid="{945672D6-A6BB-400A-80A2-BE9B921E8330}" name="Property_ID"/>
    <tableColumn id="2" xr3:uid="{1D6467F8-98F4-44F3-9683-0385F9682239}" name="City"/>
    <tableColumn id="3" xr3:uid="{6326D9FB-5D6E-4466-9739-A7A542E4F327}" name="Type"/>
    <tableColumn id="4" xr3:uid="{B8267AAF-12E8-477A-BE42-E5B34DD6A0FA}" name="Acquisition_Year"/>
    <tableColumn id="5" xr3:uid="{09DDF752-8ADA-4A45-8046-24B039664472}" name="Purchase_Price"/>
    <tableColumn id="6" xr3:uid="{8EECEF07-51DB-4D25-A994-A72CF9A9F763}" name="Current_Value"/>
    <tableColumn id="7" xr3:uid="{14AF782A-9FDE-4FFC-92F4-FD0496BF42AC}" name="Units"/>
    <tableColumn id="8" xr3:uid="{9B559682-60CC-4C59-8045-9A515EEE17AE}" name="Occupied_Units"/>
    <tableColumn id="9" xr3:uid="{16D7AC2A-7F54-4D79-B54A-8716FF9A37FA}" name="Avg_Rent_per_Unit"/>
    <tableColumn id="10" xr3:uid="{B43671B4-A72F-4C3E-AF1F-3518EE5E57D0}" name="Operating_Cost"/>
    <tableColumn id="11" xr3:uid="{CCB77155-76E1-4211-8BB6-B6AC21A8C01C}" name="Maintenance_Cost"/>
    <tableColumn id="12" xr3:uid="{D660ECE0-7E15-4D1F-B6FB-26FD3DDA61D1}" name="Debt_Outstanding"/>
    <tableColumn id="13" xr3:uid="{8675607E-4C2D-4F05-9777-164326AB92CB}" name="Interest_Rate"/>
    <tableColumn id="14" xr3:uid="{5499809F-760E-4BBF-88BC-36F4CABEF1A3}" name="Lease_Type"/>
    <tableColumn id="15" xr3:uid="{29D9FCEE-D052-49AE-AEC2-955EBC6ADE7E}" name="Gross_Rental_Income" dataDxfId="23">
      <calculatedColumnFormula>PortfolioData[[#This Row],[Occupied_Units]]*PortfolioData[[#This Row],[Avg_Rent_per_Unit]]*12</calculatedColumnFormula>
    </tableColumn>
    <tableColumn id="16" xr3:uid="{C2646C26-A033-46C1-A9E0-0FA55FF8BA4B}" name="Vacancy_%" dataDxfId="22">
      <calculatedColumnFormula>1-(PortfolioData[[#This Row],[Occupied_Units]]/PortfolioData[[#This Row],[Units]])</calculatedColumnFormula>
    </tableColumn>
    <tableColumn id="17" xr3:uid="{2D575E6B-006F-40D1-85F3-21F411E61461}" name="Net Operating Income (NOI)" dataDxfId="21">
      <calculatedColumnFormula>PortfolioData[[#This Row],[Gross_Rental_Income]] - PortfolioData[[#This Row],[Operating_Cost]] - PortfolioData[[#This Row],[Maintenance_Cost]]</calculatedColumnFormula>
    </tableColumn>
    <tableColumn id="23" xr3:uid="{41229712-13C1-49E3-98C7-B325464C9EEE}" name="Annual_Debt_Service" dataDxfId="20">
      <calculatedColumnFormula>PortfolioData[[#This Row],[Adjusted_Debt_Outstanding]]*(PortfolioData[[#This Row],[Interest_Rate]]/100)</calculatedColumnFormula>
    </tableColumn>
    <tableColumn id="34" xr3:uid="{59EC0B3B-E44A-40EB-8891-E6AC5D177E0C}" name="Adjusted_Debt_Outstanding" dataDxfId="19">
      <calculatedColumnFormula>MIN(PortfolioData[[#This Row],[Debt_Outstanding]], PortfolioData[[#This Row],[Current_Value]]*0.8)</calculatedColumnFormula>
    </tableColumn>
    <tableColumn id="24" xr3:uid="{7F650EB1-2796-438A-9FA5-1F912CB2BC53}" name="DSCR" dataDxfId="18">
      <calculatedColumnFormula>PortfolioData[[#This Row],[Net Operating Income (NOI)]]/PortfolioData[[#This Row],[Annual_Debt_Service]]</calculatedColumnFormula>
    </tableColumn>
    <tableColumn id="25" xr3:uid="{D9D690D0-8F7A-463D-88A9-9B3180CBB2B4}" name="Free_Cash_Flow" dataDxfId="17">
      <calculatedColumnFormula>PortfolioData[[#This Row],[Net Operating Income (NOI)]]-PortfolioData[[#This Row],[Annual_Debt_Service]]</calculatedColumnFormula>
    </tableColumn>
    <tableColumn id="18" xr3:uid="{B39DD647-0155-4833-B91C-E83738CF257E}" name="EBITDA" dataDxfId="16">
      <calculatedColumnFormula>PortfolioData[[#This Row],[Net Operating Income (NOI)]]</calculatedColumnFormula>
    </tableColumn>
    <tableColumn id="19" xr3:uid="{3F990B63-13B6-4DE5-972B-8A1BD59563E6}" name="Gross Yield" dataDxfId="15">
      <calculatedColumnFormula>PortfolioData[[#This Row],[Gross_Rental_Income]] / PortfolioData[[#This Row],[Purchase_Price]]</calculatedColumnFormula>
    </tableColumn>
    <tableColumn id="20" xr3:uid="{0B72BDC1-7198-4DB3-8B58-494DC6ED09D1}" name="Cap Rate" dataDxfId="14">
      <calculatedColumnFormula>PortfolioData[[#This Row],[Net Operating Income (NOI)]]/PortfolioData[[#This Row],[Current_Value]]</calculatedColumnFormula>
    </tableColumn>
    <tableColumn id="26" xr3:uid="{0992EAA4-2D75-4B2B-8AFB-59F5E57E2615}" name="ROI" dataDxfId="13">
      <calculatedColumnFormula>(PortfolioData[[#This Row],[Current_Value]]-PortfolioData[[#This Row],[Purchase_Price]]+PortfolioData[[#This Row],[Net Operating Income (NOI)]]) / PortfolioData[[#This Row],[Purchase_Price]]</calculatedColumnFormula>
    </tableColumn>
    <tableColumn id="27" xr3:uid="{D400CBA2-C1E8-4264-82BA-E4717BD970E2}" name="ROI_Percentile" dataDxfId="12">
      <calculatedColumnFormula>_xlfn.PERCENTRANK.INC(PortfolioData[ROI],PortfolioData[[#This Row],[ROI]])</calculatedColumnFormula>
    </tableColumn>
    <tableColumn id="28" xr3:uid="{E114E079-FAEE-4C58-80E8-FA7F84F7253E}" name="Performance_Flag" dataDxfId="11">
      <calculatedColumnFormula>IF(PortfolioData[[#This Row],[ROI_Percentile]]&lt;=0.1,"Underperforming","Healthy")</calculatedColumnFormula>
    </tableColumn>
    <tableColumn id="29" xr3:uid="{9D315669-8F71-4C47-9700-D2F817CE9D22}" name="Debt_Ratio" dataDxfId="10">
      <calculatedColumnFormula>PortfolioData[[#This Row],[Debt_Outstanding]]/PortfolioData[[#This Row],[Current_Value]]</calculatedColumnFormula>
    </tableColumn>
    <tableColumn id="30" xr3:uid="{E67800B0-63EB-4837-987E-520D103BD251}" name="Potential_Revenue" dataDxfId="9">
      <calculatedColumnFormula>PortfolioData[[#This Row],[Units]]*PortfolioData[[#This Row],[Avg_Rent_per_Unit]]*12</calculatedColumnFormula>
    </tableColumn>
    <tableColumn id="31" xr3:uid="{1104BDED-3CE0-43CA-A787-431345E887C2}" name="Vacancy_Loss" dataDxfId="8">
      <calculatedColumnFormula>PortfolioData[[#This Row],[Potential_Revenue]]-PortfolioData[[#This Row],[Gross_Rental_Income]]</calculatedColumnFormula>
    </tableColumn>
    <tableColumn id="32" xr3:uid="{E2910C9C-8C53-4E31-94B0-FEFE77B9DD90}" name="Vacancy_Loss_%" dataDxfId="7">
      <calculatedColumnFormula>IFERROR(PortfolioData[[#This Row],[Vacancy_Loss]]/PortfolioData[[#This Row],[Potential_Revenue]],0)</calculatedColumnFormula>
    </tableColumn>
    <tableColumn id="33" xr3:uid="{8EF1AF44-CF6D-4455-950F-9CE992C1600D}" name="Risk_Score" dataDxfId="6">
      <calculatedColumnFormula xml:space="preserve"> (PortfolioData[[#This Row],[Vacancy_%]] * 0.4) + (PortfolioData[[#This Row],[Debt_Ratio]] * 0.3) + (PortfolioData[[#This Row],[Interest_Rate]]/100 * 0.3)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D9381-E959-47D8-87D1-528D5AB6358C}" name="Table2" displayName="Table2" ref="A1:G6" totalsRowShown="0" headerRowDxfId="5">
  <autoFilter ref="A1:G6" xr:uid="{606D9381-E959-47D8-87D1-528D5AB6358C}"/>
  <tableColumns count="7">
    <tableColumn id="1" xr3:uid="{7815F592-8D28-4B68-95F6-4D0CFEC65E41}" name="City"/>
    <tableColumn id="2" xr3:uid="{874967DB-29E7-4881-A561-834DC2893F37}" name="Population_Growth_%"/>
    <tableColumn id="3" xr3:uid="{88DC213A-E30C-4B57-869F-63D74B98F822}" name="Rental_Growth_%"/>
    <tableColumn id="4" xr3:uid="{C5161104-AA9D-4C4E-ADCF-F06F6B5F066D}" name="Cap_Rate_%" dataDxfId="4"/>
    <tableColumn id="5" xr3:uid="{9FC275DF-4DAD-4A7D-A8EC-7569DE50BDDF}" name="Infrastructure_Index"/>
    <tableColumn id="6" xr3:uid="{02061464-3E6E-49A8-8530-7575F16E5023}" name="Unemployment_%"/>
    <tableColumn id="7" xr3:uid="{D8AFC264-D364-468A-B0A3-5AC929CDB827}" name="Interest_Rate_Mark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8" dT="2026-02-11T19:27:21.14" personId="{9008EF2F-A352-437A-9F3F-9698EC904543}" id="{971672D1-5A81-4240-B69C-97244761CCEF}">
    <text xml:space="preserve">Sydney assets exhibit a 2.3% higher vacancy rate relative to portfolio average, materially compressing NOI and contributing to below-average ROI performance.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17/10/relationships/threadedComment" Target="../threadedComments/threadedComment1.xml"/><Relationship Id="rId5" Type="http://schemas.openxmlformats.org/officeDocument/2006/relationships/pivotTable" Target="../pivotTables/pivotTable5.xml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17A0-FBA7-49BC-A577-6C53139A6D6F}">
  <dimension ref="A1:M39"/>
  <sheetViews>
    <sheetView tabSelected="1" zoomScaleNormal="100" workbookViewId="0">
      <selection activeCell="O17" sqref="O17"/>
    </sheetView>
  </sheetViews>
  <sheetFormatPr defaultRowHeight="14.4" x14ac:dyDescent="0.3"/>
  <cols>
    <col min="2" max="2" width="19.33203125" bestFit="1" customWidth="1"/>
    <col min="3" max="3" width="14" bestFit="1" customWidth="1"/>
    <col min="5" max="5" width="19.33203125" bestFit="1" customWidth="1"/>
    <col min="6" max="6" width="14" bestFit="1" customWidth="1"/>
    <col min="16" max="16" width="19.33203125" bestFit="1" customWidth="1"/>
    <col min="17" max="17" width="20.21875" bestFit="1" customWidth="1"/>
  </cols>
  <sheetData>
    <row r="1" spans="1:13" s="48" customFormat="1" ht="28.2" customHeight="1" thickBot="1" x14ac:dyDescent="0.45">
      <c r="A1" s="62" t="s">
        <v>244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x14ac:dyDescent="0.3">
      <c r="A2" s="55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6"/>
    </row>
    <row r="3" spans="1:13" x14ac:dyDescent="0.3">
      <c r="A3" s="55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6"/>
    </row>
    <row r="4" spans="1:13" x14ac:dyDescent="0.3">
      <c r="A4" s="55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6"/>
    </row>
    <row r="5" spans="1:13" x14ac:dyDescent="0.3">
      <c r="A5" s="55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6"/>
    </row>
    <row r="6" spans="1:13" x14ac:dyDescent="0.3">
      <c r="A6" s="55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56"/>
    </row>
    <row r="7" spans="1:13" x14ac:dyDescent="0.3">
      <c r="A7" s="55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56"/>
    </row>
    <row r="8" spans="1:13" x14ac:dyDescent="0.3">
      <c r="A8" s="5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56"/>
    </row>
    <row r="9" spans="1:13" x14ac:dyDescent="0.3">
      <c r="A9" s="55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56"/>
    </row>
    <row r="10" spans="1:13" x14ac:dyDescent="0.3">
      <c r="A10" s="55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56"/>
    </row>
    <row r="11" spans="1:13" x14ac:dyDescent="0.3">
      <c r="A11" s="55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6"/>
    </row>
    <row r="12" spans="1:13" x14ac:dyDescent="0.3">
      <c r="A12" s="55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56"/>
    </row>
    <row r="13" spans="1:13" ht="15" thickBot="1" x14ac:dyDescent="0.35">
      <c r="A13" s="55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6"/>
    </row>
    <row r="14" spans="1:13" ht="18" x14ac:dyDescent="0.35">
      <c r="A14" s="55"/>
      <c r="D14" s="49"/>
      <c r="E14" s="60" t="s">
        <v>253</v>
      </c>
      <c r="F14" s="61"/>
      <c r="G14" s="49"/>
      <c r="H14" s="49"/>
      <c r="I14" s="49"/>
      <c r="J14" s="49"/>
      <c r="K14" s="49"/>
      <c r="L14" s="49"/>
      <c r="M14" s="56"/>
    </row>
    <row r="15" spans="1:13" x14ac:dyDescent="0.3">
      <c r="A15" s="55"/>
      <c r="D15" s="49"/>
      <c r="E15" s="51" t="s">
        <v>229</v>
      </c>
      <c r="F15" s="51" t="s">
        <v>245</v>
      </c>
      <c r="G15" s="49"/>
      <c r="H15" s="49"/>
      <c r="I15" s="49"/>
      <c r="J15" s="49"/>
      <c r="K15" s="49"/>
      <c r="L15" s="49"/>
      <c r="M15" s="56"/>
    </row>
    <row r="16" spans="1:13" x14ac:dyDescent="0.3">
      <c r="A16" s="55"/>
      <c r="D16" s="49"/>
      <c r="E16" s="52" t="s">
        <v>246</v>
      </c>
      <c r="F16" s="65">
        <f>'Capital Reallocation Model'!B22</f>
        <v>10574774.710000001</v>
      </c>
      <c r="G16" s="49"/>
      <c r="H16" s="49"/>
      <c r="I16" s="49"/>
      <c r="J16" s="49"/>
      <c r="K16" s="49"/>
      <c r="L16" s="49"/>
      <c r="M16" s="56"/>
    </row>
    <row r="17" spans="1:13" x14ac:dyDescent="0.3">
      <c r="A17" s="55"/>
      <c r="D17" s="49"/>
      <c r="E17" s="52" t="s">
        <v>247</v>
      </c>
      <c r="F17" s="53">
        <f>'Capital Reallocation Model'!B31</f>
        <v>2.6220546999303849E-2</v>
      </c>
      <c r="G17" s="49"/>
      <c r="H17" s="49"/>
      <c r="I17" s="49"/>
      <c r="J17" s="49"/>
      <c r="K17" s="49"/>
      <c r="L17" s="49"/>
      <c r="M17" s="56"/>
    </row>
    <row r="18" spans="1:13" x14ac:dyDescent="0.3">
      <c r="A18" s="55"/>
      <c r="D18" s="49"/>
      <c r="E18" s="52" t="s">
        <v>248</v>
      </c>
      <c r="F18" s="66">
        <f>'Capital Reallocation Model'!B30</f>
        <v>0.12190778654078915</v>
      </c>
      <c r="G18" s="49"/>
      <c r="H18" s="49"/>
      <c r="I18" s="49"/>
      <c r="J18" s="49"/>
      <c r="K18" s="49"/>
      <c r="L18" s="49"/>
      <c r="M18" s="56"/>
    </row>
    <row r="19" spans="1:13" x14ac:dyDescent="0.3">
      <c r="A19" s="55"/>
      <c r="D19" s="49"/>
      <c r="E19" s="52" t="s">
        <v>249</v>
      </c>
      <c r="F19" s="67">
        <f>F18/F17</f>
        <v>4.6493227827789321</v>
      </c>
      <c r="G19" s="49"/>
      <c r="H19" s="49"/>
      <c r="I19" s="49"/>
      <c r="J19" s="49"/>
      <c r="K19" s="49"/>
      <c r="L19" s="49"/>
      <c r="M19" s="56"/>
    </row>
    <row r="20" spans="1:13" x14ac:dyDescent="0.3">
      <c r="A20" s="55"/>
      <c r="D20" s="49"/>
      <c r="E20" s="52" t="s">
        <v>250</v>
      </c>
      <c r="F20" s="54" t="s">
        <v>252</v>
      </c>
      <c r="G20" s="49"/>
      <c r="H20" s="49"/>
      <c r="I20" s="49"/>
      <c r="J20" s="49"/>
      <c r="K20" s="49"/>
      <c r="L20" s="49"/>
      <c r="M20" s="56"/>
    </row>
    <row r="21" spans="1:13" x14ac:dyDescent="0.3">
      <c r="A21" s="55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6"/>
    </row>
    <row r="22" spans="1:13" ht="15" thickBot="1" x14ac:dyDescent="0.35">
      <c r="A22" s="55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6"/>
    </row>
    <row r="23" spans="1:13" ht="15" thickBot="1" x14ac:dyDescent="0.35">
      <c r="A23" s="55"/>
      <c r="B23" s="49"/>
      <c r="C23" s="49"/>
      <c r="D23" s="49"/>
      <c r="E23" s="49"/>
      <c r="F23" s="50"/>
      <c r="G23" s="49"/>
      <c r="H23" s="49"/>
      <c r="I23" s="49"/>
      <c r="J23" s="49"/>
      <c r="K23" s="49"/>
      <c r="L23" s="49"/>
      <c r="M23" s="56"/>
    </row>
    <row r="24" spans="1:13" x14ac:dyDescent="0.3">
      <c r="A24" s="5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6"/>
    </row>
    <row r="25" spans="1:13" x14ac:dyDescent="0.3">
      <c r="A25" s="55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6"/>
    </row>
    <row r="26" spans="1:13" x14ac:dyDescent="0.3">
      <c r="A26" s="55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6"/>
    </row>
    <row r="27" spans="1:13" x14ac:dyDescent="0.3">
      <c r="A27" s="55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6"/>
    </row>
    <row r="28" spans="1:13" x14ac:dyDescent="0.3">
      <c r="A28" s="55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6"/>
    </row>
    <row r="29" spans="1:13" x14ac:dyDescent="0.3">
      <c r="A29" s="55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6"/>
    </row>
    <row r="30" spans="1:13" x14ac:dyDescent="0.3">
      <c r="A30" s="55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6"/>
    </row>
    <row r="31" spans="1:13" x14ac:dyDescent="0.3">
      <c r="A31" s="55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56"/>
    </row>
    <row r="32" spans="1:13" x14ac:dyDescent="0.3">
      <c r="A32" s="55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56"/>
    </row>
    <row r="33" spans="1:13" x14ac:dyDescent="0.3">
      <c r="A33" s="55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56"/>
    </row>
    <row r="34" spans="1:13" x14ac:dyDescent="0.3">
      <c r="A34" s="55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56"/>
    </row>
    <row r="35" spans="1:13" x14ac:dyDescent="0.3">
      <c r="A35" s="55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56"/>
    </row>
    <row r="36" spans="1:13" x14ac:dyDescent="0.3">
      <c r="A36" s="55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56"/>
    </row>
    <row r="37" spans="1:13" x14ac:dyDescent="0.3">
      <c r="A37" s="55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56"/>
    </row>
    <row r="38" spans="1:13" x14ac:dyDescent="0.3">
      <c r="A38" s="55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56"/>
    </row>
    <row r="39" spans="1:13" ht="15" thickBot="1" x14ac:dyDescent="0.35">
      <c r="A39" s="57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8"/>
    </row>
  </sheetData>
  <mergeCells count="2">
    <mergeCell ref="E14:F14"/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A152-0F4C-4DAF-8672-58329D2F88EE}">
  <dimension ref="A3:H9"/>
  <sheetViews>
    <sheetView workbookViewId="0">
      <selection activeCell="H4" sqref="H4"/>
    </sheetView>
  </sheetViews>
  <sheetFormatPr defaultRowHeight="14.4" x14ac:dyDescent="0.3"/>
  <cols>
    <col min="1" max="1" width="23.21875" bestFit="1" customWidth="1"/>
    <col min="2" max="2" width="11" bestFit="1" customWidth="1"/>
    <col min="5" max="5" width="14.109375" customWidth="1"/>
    <col min="6" max="6" width="13.44140625" customWidth="1"/>
    <col min="8" max="8" width="17.33203125" bestFit="1" customWidth="1"/>
  </cols>
  <sheetData>
    <row r="3" spans="1:8" x14ac:dyDescent="0.3">
      <c r="A3" s="29" t="s">
        <v>228</v>
      </c>
      <c r="B3" s="29"/>
      <c r="E3" s="25" t="s">
        <v>237</v>
      </c>
      <c r="F3" s="25"/>
      <c r="G3" s="25"/>
      <c r="H3" s="25"/>
    </row>
    <row r="4" spans="1:8" x14ac:dyDescent="0.3">
      <c r="A4" s="7" t="s">
        <v>191</v>
      </c>
      <c r="B4" s="8">
        <f>SUM(PortfolioData[Purchase_Price])</f>
        <v>2168175660</v>
      </c>
      <c r="E4" s="30" t="s">
        <v>229</v>
      </c>
      <c r="F4" s="30"/>
      <c r="G4" s="26" t="s">
        <v>230</v>
      </c>
      <c r="H4" s="32" t="s">
        <v>231</v>
      </c>
    </row>
    <row r="5" spans="1:8" x14ac:dyDescent="0.3">
      <c r="A5" s="7" t="s">
        <v>192</v>
      </c>
      <c r="B5" s="8">
        <f>SUMPRODUCT(PortfolioData[ROI], PortfolioData[Purchase_Price])</f>
        <v>441777944.63000005</v>
      </c>
      <c r="E5" s="28" t="s">
        <v>193</v>
      </c>
      <c r="F5" s="28"/>
      <c r="G5" s="31">
        <f>B6</f>
        <v>0.20375560559055444</v>
      </c>
      <c r="H5" s="27" t="s">
        <v>238</v>
      </c>
    </row>
    <row r="6" spans="1:8" x14ac:dyDescent="0.3">
      <c r="A6" s="7" t="s">
        <v>193</v>
      </c>
      <c r="B6" s="9">
        <f>B5/B4</f>
        <v>0.20375560559055444</v>
      </c>
      <c r="E6" s="28" t="s">
        <v>232</v>
      </c>
      <c r="F6" s="28"/>
      <c r="G6" s="33">
        <f>AVERAGE(PortfolioData[Risk_Score])</f>
        <v>0.26601633603381858</v>
      </c>
      <c r="H6" s="35">
        <f>Portfolio_Data!AH15</f>
        <v>0.26201602059941836</v>
      </c>
    </row>
    <row r="7" spans="1:8" x14ac:dyDescent="0.3">
      <c r="E7" s="28" t="s">
        <v>233</v>
      </c>
      <c r="F7" s="28"/>
      <c r="G7" s="31">
        <f>Portfolio_Data!Y2</f>
        <v>-3.01749331103369E-2</v>
      </c>
      <c r="H7" s="34">
        <f>Portfolio_Data!Y3</f>
        <v>0.25578913304035161</v>
      </c>
    </row>
    <row r="8" spans="1:8" x14ac:dyDescent="0.3">
      <c r="E8" s="28" t="s">
        <v>234</v>
      </c>
      <c r="F8" s="28"/>
      <c r="G8" s="31">
        <f>'Capital Reallocation Model'!B31</f>
        <v>2.6220546999303849E-2</v>
      </c>
      <c r="H8" s="27" t="s">
        <v>236</v>
      </c>
    </row>
    <row r="9" spans="1:8" x14ac:dyDescent="0.3">
      <c r="E9" s="28" t="s">
        <v>235</v>
      </c>
      <c r="F9" s="28"/>
      <c r="G9" s="27" t="s">
        <v>236</v>
      </c>
      <c r="H9" s="36">
        <f>'Capital Reallocation Model'!B30</f>
        <v>0.12190778654078915</v>
      </c>
    </row>
  </sheetData>
  <mergeCells count="8">
    <mergeCell ref="E7:F7"/>
    <mergeCell ref="E6:F6"/>
    <mergeCell ref="E5:F5"/>
    <mergeCell ref="E8:F8"/>
    <mergeCell ref="E9:F9"/>
    <mergeCell ref="A3:B3"/>
    <mergeCell ref="E3:H3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A521-8EB7-4314-8982-D3A9FAEF710A}">
  <dimension ref="A2:M39"/>
  <sheetViews>
    <sheetView workbookViewId="0">
      <selection activeCell="G29" sqref="G29"/>
    </sheetView>
  </sheetViews>
  <sheetFormatPr defaultRowHeight="14.4" x14ac:dyDescent="0.3"/>
  <cols>
    <col min="1" max="1" width="11" bestFit="1" customWidth="1"/>
    <col min="2" max="2" width="25.21875" bestFit="1" customWidth="1"/>
    <col min="3" max="3" width="20.44140625" bestFit="1" customWidth="1"/>
    <col min="4" max="4" width="35.6640625" bestFit="1" customWidth="1"/>
    <col min="5" max="6" width="18.44140625" bestFit="1" customWidth="1"/>
    <col min="9" max="9" width="12.77734375" bestFit="1" customWidth="1"/>
    <col min="10" max="10" width="20.109375" bestFit="1" customWidth="1"/>
    <col min="11" max="11" width="20.44140625" bestFit="1" customWidth="1"/>
    <col min="12" max="12" width="20.5546875" bestFit="1" customWidth="1"/>
    <col min="13" max="13" width="15.21875" bestFit="1" customWidth="1"/>
  </cols>
  <sheetData>
    <row r="2" spans="1:13" x14ac:dyDescent="0.3">
      <c r="B2" s="25" t="s">
        <v>255</v>
      </c>
      <c r="C2" s="25"/>
      <c r="K2" s="15" t="s">
        <v>212</v>
      </c>
    </row>
    <row r="3" spans="1:13" x14ac:dyDescent="0.3">
      <c r="A3" s="10" t="s">
        <v>1</v>
      </c>
      <c r="B3" t="s">
        <v>195</v>
      </c>
      <c r="C3" t="s">
        <v>196</v>
      </c>
      <c r="D3" t="s">
        <v>197</v>
      </c>
      <c r="E3" t="s">
        <v>198</v>
      </c>
      <c r="I3" s="10" t="s">
        <v>1</v>
      </c>
      <c r="J3" t="s">
        <v>195</v>
      </c>
      <c r="K3" t="s">
        <v>196</v>
      </c>
      <c r="L3" t="s">
        <v>205</v>
      </c>
      <c r="M3" t="s">
        <v>197</v>
      </c>
    </row>
    <row r="4" spans="1:13" x14ac:dyDescent="0.3">
      <c r="A4" s="11" t="s">
        <v>19</v>
      </c>
      <c r="B4" s="3">
        <v>0.19727323523489368</v>
      </c>
      <c r="C4" s="3">
        <v>0.14606808395723944</v>
      </c>
      <c r="D4" s="5">
        <v>2.6381503950312974</v>
      </c>
      <c r="E4" s="3">
        <v>5.9929843688531527E-2</v>
      </c>
      <c r="I4" s="11" t="s">
        <v>19</v>
      </c>
      <c r="J4" s="3">
        <v>0.19727323523489368</v>
      </c>
      <c r="K4" s="3">
        <v>0.14606808395723944</v>
      </c>
      <c r="L4" s="3">
        <v>0.6909958000823162</v>
      </c>
      <c r="M4" s="5">
        <v>2.6381503950312974</v>
      </c>
    </row>
    <row r="5" spans="1:13" x14ac:dyDescent="0.3">
      <c r="A5" s="11" t="s">
        <v>35</v>
      </c>
      <c r="B5" s="3">
        <v>0.20906025564444827</v>
      </c>
      <c r="C5" s="3">
        <v>0.15303650399121008</v>
      </c>
      <c r="D5" s="5">
        <v>1.9659957333204683</v>
      </c>
      <c r="E5" s="3">
        <v>3.9810295461218136E-2</v>
      </c>
      <c r="I5" s="11" t="s">
        <v>35</v>
      </c>
      <c r="J5" s="3">
        <v>0.20906025564444827</v>
      </c>
      <c r="K5" s="3">
        <v>0.15303650399121008</v>
      </c>
      <c r="L5" s="3">
        <v>0.55952116547395181</v>
      </c>
      <c r="M5" s="5">
        <v>1.9659957333204683</v>
      </c>
    </row>
    <row r="6" spans="1:13" x14ac:dyDescent="0.3">
      <c r="A6" s="11" t="s">
        <v>22</v>
      </c>
      <c r="B6" s="3">
        <v>0.24751112096514269</v>
      </c>
      <c r="C6" s="3">
        <v>0.14299013111757986</v>
      </c>
      <c r="D6" s="5">
        <v>3.5952372528302043</v>
      </c>
      <c r="E6" s="3">
        <v>7.4561510759105804E-2</v>
      </c>
      <c r="I6" s="11" t="s">
        <v>22</v>
      </c>
      <c r="J6" s="3">
        <v>0.24751112096514269</v>
      </c>
      <c r="K6" s="3">
        <v>0.14299013111757986</v>
      </c>
      <c r="L6" s="3">
        <v>0.71846193355736088</v>
      </c>
      <c r="M6" s="5">
        <v>3.5952372528302043</v>
      </c>
    </row>
    <row r="7" spans="1:13" x14ac:dyDescent="0.3">
      <c r="A7" s="11" t="s">
        <v>15</v>
      </c>
      <c r="B7" s="3">
        <v>0.22061348503234179</v>
      </c>
      <c r="C7" s="3">
        <v>0.13507720533306267</v>
      </c>
      <c r="D7" s="5">
        <v>3.4016878831389117</v>
      </c>
      <c r="E7" s="3">
        <v>5.7128665761773702E-2</v>
      </c>
      <c r="I7" s="11" t="s">
        <v>15</v>
      </c>
      <c r="J7" s="3">
        <v>0.22061348503234179</v>
      </c>
      <c r="K7" s="3">
        <v>0.13507720533306267</v>
      </c>
      <c r="L7" s="3">
        <v>0.53730872285776754</v>
      </c>
      <c r="M7" s="5">
        <v>3.4016878831389117</v>
      </c>
    </row>
    <row r="8" spans="1:13" x14ac:dyDescent="0.3">
      <c r="A8" s="11" t="s">
        <v>27</v>
      </c>
      <c r="B8" s="3">
        <v>0.17283032198745044</v>
      </c>
      <c r="C8" s="3">
        <v>0.1660512959127356</v>
      </c>
      <c r="D8" s="5">
        <v>4.1581678134879629</v>
      </c>
      <c r="E8" s="3">
        <v>7.3291862997118568E-2</v>
      </c>
      <c r="I8" s="11" t="s">
        <v>27</v>
      </c>
      <c r="J8" s="3">
        <v>0.17283032198745044</v>
      </c>
      <c r="K8" s="3">
        <v>0.1660512959127356</v>
      </c>
      <c r="L8" s="3">
        <v>0.6435317129661221</v>
      </c>
      <c r="M8" s="5">
        <v>4.1581678134879629</v>
      </c>
    </row>
    <row r="9" spans="1:13" x14ac:dyDescent="0.3">
      <c r="A9" s="11" t="s">
        <v>194</v>
      </c>
      <c r="B9" s="3">
        <v>0.21000309161293607</v>
      </c>
      <c r="C9" s="3">
        <v>0.14888264092725056</v>
      </c>
      <c r="D9" s="5">
        <v>3.1964185929972055</v>
      </c>
      <c r="E9" s="3">
        <v>6.1818383461600297E-2</v>
      </c>
      <c r="I9" s="11" t="s">
        <v>194</v>
      </c>
      <c r="J9" s="3">
        <v>0.21000309161293607</v>
      </c>
      <c r="K9" s="3">
        <v>0.14888264092725056</v>
      </c>
      <c r="L9" s="3">
        <v>0.63386559887639449</v>
      </c>
      <c r="M9" s="5">
        <v>3.1964185929972055</v>
      </c>
    </row>
    <row r="12" spans="1:13" x14ac:dyDescent="0.3">
      <c r="B12" s="25" t="s">
        <v>254</v>
      </c>
      <c r="C12" s="25"/>
    </row>
    <row r="13" spans="1:13" x14ac:dyDescent="0.3">
      <c r="A13" s="10" t="s">
        <v>2</v>
      </c>
      <c r="B13" t="s">
        <v>195</v>
      </c>
      <c r="C13" t="s">
        <v>196</v>
      </c>
      <c r="D13" t="s">
        <v>199</v>
      </c>
      <c r="I13" s="25" t="s">
        <v>216</v>
      </c>
      <c r="J13" s="25"/>
    </row>
    <row r="14" spans="1:13" x14ac:dyDescent="0.3">
      <c r="A14" s="11" t="s">
        <v>20</v>
      </c>
      <c r="B14" s="3">
        <v>0.20341964217020631</v>
      </c>
      <c r="C14" s="3">
        <v>0.15245185359186084</v>
      </c>
      <c r="D14" s="5">
        <v>879373.51351351349</v>
      </c>
      <c r="I14" s="10" t="s">
        <v>1</v>
      </c>
      <c r="J14" t="s">
        <v>215</v>
      </c>
    </row>
    <row r="15" spans="1:13" x14ac:dyDescent="0.3">
      <c r="A15" s="11" t="s">
        <v>30</v>
      </c>
      <c r="B15" s="3">
        <v>0.23383285435632245</v>
      </c>
      <c r="C15" s="3">
        <v>0.11755019572045167</v>
      </c>
      <c r="D15" s="5">
        <v>1050267.5</v>
      </c>
      <c r="I15" s="11" t="s">
        <v>19</v>
      </c>
      <c r="J15" s="17">
        <v>0.34386598615701808</v>
      </c>
    </row>
    <row r="16" spans="1:13" x14ac:dyDescent="0.3">
      <c r="A16" s="11" t="s">
        <v>16</v>
      </c>
      <c r="B16" s="3">
        <v>0.20644099322551671</v>
      </c>
      <c r="C16" s="3">
        <v>0.16814231948137681</v>
      </c>
      <c r="D16" s="5">
        <v>875964.38888888888</v>
      </c>
      <c r="I16" s="11" t="s">
        <v>35</v>
      </c>
      <c r="J16" s="17">
        <v>8.3763518485605565E-2</v>
      </c>
    </row>
    <row r="17" spans="1:10" x14ac:dyDescent="0.3">
      <c r="A17" s="11" t="s">
        <v>23</v>
      </c>
      <c r="B17" s="3">
        <v>0.20132021969159694</v>
      </c>
      <c r="C17" s="3">
        <v>0.15282106204010507</v>
      </c>
      <c r="D17" s="5">
        <v>733834.22222222225</v>
      </c>
      <c r="I17" s="11" t="s">
        <v>22</v>
      </c>
      <c r="J17" s="17">
        <v>0.1848890378254831</v>
      </c>
    </row>
    <row r="18" spans="1:10" x14ac:dyDescent="0.3">
      <c r="A18" s="11" t="s">
        <v>194</v>
      </c>
      <c r="B18" s="3">
        <v>0.21000309161293609</v>
      </c>
      <c r="C18" s="3">
        <v>0.14888264092725062</v>
      </c>
      <c r="D18" s="5">
        <v>871350.92</v>
      </c>
      <c r="I18" s="11" t="s">
        <v>15</v>
      </c>
      <c r="J18" s="17">
        <v>0.35570294980184114</v>
      </c>
    </row>
    <row r="19" spans="1:10" ht="15" customHeight="1" x14ac:dyDescent="0.3">
      <c r="I19" s="11" t="s">
        <v>27</v>
      </c>
      <c r="J19" s="17">
        <v>-0.73881858138697698</v>
      </c>
    </row>
    <row r="20" spans="1:10" x14ac:dyDescent="0.3">
      <c r="I20" s="11" t="s">
        <v>194</v>
      </c>
      <c r="J20" s="17">
        <v>3.051560937418794E-2</v>
      </c>
    </row>
    <row r="21" spans="1:10" x14ac:dyDescent="0.3">
      <c r="C21" s="12" t="s">
        <v>206</v>
      </c>
    </row>
    <row r="22" spans="1:10" x14ac:dyDescent="0.3">
      <c r="A22" s="10" t="s">
        <v>201</v>
      </c>
      <c r="B22" t="s">
        <v>205</v>
      </c>
      <c r="C22" t="s">
        <v>197</v>
      </c>
      <c r="D22" t="s">
        <v>196</v>
      </c>
      <c r="E22" t="s">
        <v>198</v>
      </c>
    </row>
    <row r="23" spans="1:10" x14ac:dyDescent="0.3">
      <c r="A23" s="11" t="s">
        <v>202</v>
      </c>
      <c r="B23" s="3">
        <v>0.60466169580942619</v>
      </c>
      <c r="C23" s="5">
        <v>3.5887154562906214</v>
      </c>
      <c r="D23" s="3">
        <v>0.14452146166789215</v>
      </c>
      <c r="E23" s="3">
        <v>7.1045831459371059E-2</v>
      </c>
    </row>
    <row r="24" spans="1:10" x14ac:dyDescent="0.3">
      <c r="A24" s="11" t="s">
        <v>203</v>
      </c>
      <c r="B24" s="3">
        <v>0.87844828706225164</v>
      </c>
      <c r="C24" s="5">
        <v>-8.906763708515722E-2</v>
      </c>
      <c r="D24" s="3">
        <v>0.18540751722437765</v>
      </c>
      <c r="E24" s="3">
        <v>-1.5461493519729792E-2</v>
      </c>
    </row>
    <row r="25" spans="1:10" x14ac:dyDescent="0.3">
      <c r="A25" s="11" t="s">
        <v>194</v>
      </c>
      <c r="B25" s="3">
        <v>0.63386559887639404</v>
      </c>
      <c r="C25" s="5">
        <v>3.1964185929972047</v>
      </c>
      <c r="D25" s="3">
        <v>0.14888264092725059</v>
      </c>
      <c r="E25" s="3">
        <v>6.1818383461600311E-2</v>
      </c>
    </row>
    <row r="27" spans="1:10" x14ac:dyDescent="0.3">
      <c r="B27" s="25" t="s">
        <v>211</v>
      </c>
      <c r="C27" s="25"/>
    </row>
    <row r="28" spans="1:10" x14ac:dyDescent="0.3">
      <c r="A28" s="10" t="s">
        <v>201</v>
      </c>
      <c r="B28" t="s">
        <v>196</v>
      </c>
      <c r="C28" t="s">
        <v>210</v>
      </c>
      <c r="D28" t="s">
        <v>195</v>
      </c>
    </row>
    <row r="29" spans="1:10" x14ac:dyDescent="0.3">
      <c r="A29" s="11" t="s">
        <v>202</v>
      </c>
      <c r="B29" s="3">
        <v>0.14452146166789215</v>
      </c>
      <c r="C29" s="3">
        <v>0.14452146166789218</v>
      </c>
      <c r="D29" s="3">
        <v>0.24345066961940784</v>
      </c>
    </row>
    <row r="30" spans="1:10" x14ac:dyDescent="0.3">
      <c r="A30" s="11" t="s">
        <v>203</v>
      </c>
      <c r="B30" s="3">
        <v>0.18540751722437765</v>
      </c>
      <c r="C30" s="3">
        <v>0.1854075172243777</v>
      </c>
      <c r="D30" s="3">
        <v>-7.0120374191265128E-2</v>
      </c>
    </row>
    <row r="31" spans="1:10" x14ac:dyDescent="0.3">
      <c r="A31" s="11" t="s">
        <v>194</v>
      </c>
      <c r="B31" s="3">
        <v>0.14888264092725059</v>
      </c>
      <c r="C31" s="3">
        <v>0.14888264092725062</v>
      </c>
      <c r="D31" s="3">
        <v>0.21000309161293609</v>
      </c>
    </row>
    <row r="33" spans="1:3" x14ac:dyDescent="0.3">
      <c r="A33" s="10" t="s">
        <v>1</v>
      </c>
      <c r="B33" t="s">
        <v>210</v>
      </c>
      <c r="C33" t="s">
        <v>195</v>
      </c>
    </row>
    <row r="34" spans="1:3" x14ac:dyDescent="0.3">
      <c r="A34" s="11" t="s">
        <v>19</v>
      </c>
      <c r="B34" s="3">
        <v>0.14606808395723947</v>
      </c>
      <c r="C34" s="3">
        <v>0.19727323523489368</v>
      </c>
    </row>
    <row r="35" spans="1:3" x14ac:dyDescent="0.3">
      <c r="A35" s="11" t="s">
        <v>35</v>
      </c>
      <c r="B35" s="3">
        <v>0.1530365039912101</v>
      </c>
      <c r="C35" s="3">
        <v>0.20906025564444827</v>
      </c>
    </row>
    <row r="36" spans="1:3" x14ac:dyDescent="0.3">
      <c r="A36" s="11" t="s">
        <v>22</v>
      </c>
      <c r="B36" s="3">
        <v>0.14299013111757986</v>
      </c>
      <c r="C36" s="3">
        <v>0.24751112096514269</v>
      </c>
    </row>
    <row r="37" spans="1:3" x14ac:dyDescent="0.3">
      <c r="A37" s="11" t="s">
        <v>15</v>
      </c>
      <c r="B37" s="3">
        <v>0.13507720533306264</v>
      </c>
      <c r="C37" s="3">
        <v>0.22061348503234179</v>
      </c>
    </row>
    <row r="38" spans="1:3" x14ac:dyDescent="0.3">
      <c r="A38" s="11" t="s">
        <v>27</v>
      </c>
      <c r="B38" s="3">
        <v>0.1660512959127356</v>
      </c>
      <c r="C38" s="3">
        <v>0.17283032198745044</v>
      </c>
    </row>
    <row r="39" spans="1:3" x14ac:dyDescent="0.3">
      <c r="A39" s="11" t="s">
        <v>194</v>
      </c>
      <c r="B39" s="3">
        <v>0.14888264092725062</v>
      </c>
      <c r="C39" s="3">
        <v>0.21000309161293607</v>
      </c>
    </row>
  </sheetData>
  <mergeCells count="4">
    <mergeCell ref="B27:C27"/>
    <mergeCell ref="I13:J13"/>
    <mergeCell ref="B12:C12"/>
    <mergeCell ref="B2:C2"/>
  </mergeCells>
  <conditionalFormatting sqref="J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8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B039-2654-4001-91D2-A5B86C953092}">
  <dimension ref="A1:AF42"/>
  <sheetViews>
    <sheetView workbookViewId="0">
      <selection activeCell="V17" sqref="V17"/>
    </sheetView>
  </sheetViews>
  <sheetFormatPr defaultRowHeight="14.4" x14ac:dyDescent="0.3"/>
  <cols>
    <col min="1" max="1" width="44" bestFit="1" customWidth="1"/>
    <col min="2" max="2" width="14.6640625" customWidth="1"/>
    <col min="5" max="5" width="11.44140625" bestFit="1" customWidth="1"/>
    <col min="6" max="6" width="11" bestFit="1" customWidth="1"/>
    <col min="8" max="8" width="16.88671875" bestFit="1" customWidth="1"/>
    <col min="13" max="13" width="14.109375" bestFit="1" customWidth="1"/>
    <col min="14" max="14" width="11" bestFit="1" customWidth="1"/>
    <col min="15" max="15" width="22.21875" bestFit="1" customWidth="1"/>
    <col min="16" max="16" width="12.77734375" bestFit="1" customWidth="1"/>
    <col min="17" max="17" width="27.88671875" bestFit="1" customWidth="1"/>
    <col min="18" max="18" width="21.88671875" bestFit="1" customWidth="1"/>
    <col min="19" max="19" width="28.21875" bestFit="1" customWidth="1"/>
    <col min="21" max="21" width="17.33203125" bestFit="1" customWidth="1"/>
    <col min="22" max="22" width="10.5546875" bestFit="1" customWidth="1"/>
    <col min="23" max="23" width="10.6640625" bestFit="1" customWidth="1"/>
    <col min="26" max="26" width="16.21875" bestFit="1" customWidth="1"/>
    <col min="30" max="30" width="14.88671875" bestFit="1" customWidth="1"/>
    <col min="32" max="32" width="10.109375" bestFit="1" customWidth="1"/>
  </cols>
  <sheetData>
    <row r="1" spans="1:3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9" t="s">
        <v>181</v>
      </c>
      <c r="P1" s="20" t="s">
        <v>182</v>
      </c>
      <c r="Q1" s="18" t="s">
        <v>183</v>
      </c>
      <c r="R1" s="18" t="s">
        <v>187</v>
      </c>
      <c r="S1" s="18" t="s">
        <v>214</v>
      </c>
      <c r="T1" s="18" t="s">
        <v>188</v>
      </c>
      <c r="U1" s="18" t="s">
        <v>189</v>
      </c>
      <c r="V1" s="12" t="s">
        <v>184</v>
      </c>
      <c r="W1" s="20" t="s">
        <v>185</v>
      </c>
      <c r="X1" s="18" t="s">
        <v>251</v>
      </c>
      <c r="Y1" s="18" t="s">
        <v>190</v>
      </c>
      <c r="Z1" s="12" t="s">
        <v>200</v>
      </c>
      <c r="AA1" s="12" t="s">
        <v>201</v>
      </c>
      <c r="AB1" s="20" t="s">
        <v>204</v>
      </c>
      <c r="AC1" s="12" t="s">
        <v>207</v>
      </c>
      <c r="AD1" s="21" t="s">
        <v>208</v>
      </c>
      <c r="AE1" s="20" t="s">
        <v>209</v>
      </c>
      <c r="AF1" s="22" t="s">
        <v>213</v>
      </c>
    </row>
    <row r="2" spans="1:32" x14ac:dyDescent="0.3">
      <c r="A2" t="s">
        <v>126</v>
      </c>
      <c r="B2" t="s">
        <v>27</v>
      </c>
      <c r="C2" t="s">
        <v>23</v>
      </c>
      <c r="D2">
        <v>2020</v>
      </c>
      <c r="E2">
        <v>5926551</v>
      </c>
      <c r="F2">
        <v>5477928.7199999997</v>
      </c>
      <c r="G2">
        <v>71</v>
      </c>
      <c r="H2">
        <v>57</v>
      </c>
      <c r="I2">
        <v>1573</v>
      </c>
      <c r="J2">
        <v>422066</v>
      </c>
      <c r="K2">
        <v>384077</v>
      </c>
      <c r="L2">
        <v>13983693</v>
      </c>
      <c r="M2">
        <v>5.79</v>
      </c>
      <c r="N2" t="s">
        <v>24</v>
      </c>
      <c r="O2" s="5">
        <f>PortfolioData[[#This Row],[Occupied_Units]]*PortfolioData[[#This Row],[Avg_Rent_per_Unit]]*12</f>
        <v>1075932</v>
      </c>
      <c r="P2" s="3">
        <f>1-(PortfolioData[[#This Row],[Occupied_Units]]/PortfolioData[[#This Row],[Units]])</f>
        <v>0.19718309859154926</v>
      </c>
      <c r="Q2" s="5">
        <f>PortfolioData[[#This Row],[Gross_Rental_Income]] - PortfolioData[[#This Row],[Operating_Cost]] - PortfolioData[[#This Row],[Maintenance_Cost]]</f>
        <v>269789</v>
      </c>
      <c r="R2" s="5">
        <f>PortfolioData[[#This Row],[Adjusted_Debt_Outstanding]]*(PortfolioData[[#This Row],[Interest_Rate]]/100)</f>
        <v>253737.6583104</v>
      </c>
      <c r="S2" s="5">
        <f>MIN(PortfolioData[[#This Row],[Debt_Outstanding]], PortfolioData[[#This Row],[Current_Value]]*0.8)</f>
        <v>4382342.9759999998</v>
      </c>
      <c r="T2" s="5">
        <f>PortfolioData[[#This Row],[Net Operating Income (NOI)]]/PortfolioData[[#This Row],[Annual_Debt_Service]]</f>
        <v>1.0632595957434281</v>
      </c>
      <c r="U2" s="5">
        <f>PortfolioData[[#This Row],[Net Operating Income (NOI)]]-PortfolioData[[#This Row],[Annual_Debt_Service]]</f>
        <v>16051.341689599998</v>
      </c>
      <c r="V2" s="5">
        <f>PortfolioData[[#This Row],[Net Operating Income (NOI)]]</f>
        <v>269789</v>
      </c>
      <c r="W2" s="3">
        <f>PortfolioData[[#This Row],[Gross_Rental_Income]] / PortfolioData[[#This Row],[Purchase_Price]]</f>
        <v>0.1815443754723447</v>
      </c>
      <c r="X2" s="3">
        <f>PortfolioData[[#This Row],[Net Operating Income (NOI)]]/PortfolioData[[#This Row],[Current_Value]]</f>
        <v>4.925018447483559E-2</v>
      </c>
      <c r="Y2" s="3">
        <f>(PortfolioData[[#This Row],[Current_Value]]-PortfolioData[[#This Row],[Purchase_Price]]+PortfolioData[[#This Row],[Net Operating Income (NOI)]]) / PortfolioData[[#This Row],[Purchase_Price]]</f>
        <v>-3.01749331103369E-2</v>
      </c>
      <c r="Z2" s="5">
        <f>_xlfn.PERCENTRANK.INC(PortfolioData[ROI],PortfolioData[[#This Row],[ROI]])</f>
        <v>0.127</v>
      </c>
      <c r="AA2" s="3" t="str">
        <f>IF(PortfolioData[[#This Row],[ROI_Percentile]]&lt;=0.1,"Underperforming","Healthy")</f>
        <v>Healthy</v>
      </c>
      <c r="AB2" s="3">
        <f>PortfolioData[[#This Row],[Debt_Outstanding]]/PortfolioData[[#This Row],[Current_Value]]</f>
        <v>2.5527336544094354</v>
      </c>
      <c r="AC2">
        <f>PortfolioData[[#This Row],[Units]]*PortfolioData[[#This Row],[Avg_Rent_per_Unit]]*12</f>
        <v>1340196</v>
      </c>
      <c r="AD2" s="13">
        <f>PortfolioData[[#This Row],[Potential_Revenue]]-PortfolioData[[#This Row],[Gross_Rental_Income]]</f>
        <v>264264</v>
      </c>
      <c r="AE2" s="3">
        <f>IFERROR(PortfolioData[[#This Row],[Vacancy_Loss]]/PortfolioData[[#This Row],[Potential_Revenue]],0)</f>
        <v>0.19718309859154928</v>
      </c>
      <c r="AF2" s="17">
        <f xml:space="preserve"> (PortfolioData[[#This Row],[Vacancy_%]] * 0.4) + (PortfolioData[[#This Row],[Debt_Ratio]] * 0.3) + (PortfolioData[[#This Row],[Interest_Rate]]/100 * 0.3)</f>
        <v>0.86206333575945038</v>
      </c>
    </row>
    <row r="3" spans="1:32" x14ac:dyDescent="0.3">
      <c r="A3" t="s">
        <v>167</v>
      </c>
      <c r="B3" t="s">
        <v>19</v>
      </c>
      <c r="C3" t="s">
        <v>20</v>
      </c>
      <c r="D3">
        <v>2020</v>
      </c>
      <c r="E3">
        <v>5131150</v>
      </c>
      <c r="F3">
        <v>5251723.41</v>
      </c>
      <c r="G3">
        <v>57</v>
      </c>
      <c r="H3">
        <v>42</v>
      </c>
      <c r="I3">
        <v>4135</v>
      </c>
      <c r="J3">
        <v>453835</v>
      </c>
      <c r="K3">
        <v>438286</v>
      </c>
      <c r="L3">
        <v>12882576</v>
      </c>
      <c r="M3">
        <v>3.69</v>
      </c>
      <c r="N3" t="s">
        <v>17</v>
      </c>
      <c r="O3" s="5">
        <f>PortfolioData[[#This Row],[Occupied_Units]]*PortfolioData[[#This Row],[Avg_Rent_per_Unit]]*12</f>
        <v>2084040</v>
      </c>
      <c r="P3" s="3">
        <f>1-(PortfolioData[[#This Row],[Occupied_Units]]/PortfolioData[[#This Row],[Units]])</f>
        <v>0.26315789473684215</v>
      </c>
      <c r="Q3" s="5">
        <f>PortfolioData[[#This Row],[Gross_Rental_Income]] - PortfolioData[[#This Row],[Operating_Cost]] - PortfolioData[[#This Row],[Maintenance_Cost]]</f>
        <v>1191919</v>
      </c>
      <c r="R3" s="5">
        <f>PortfolioData[[#This Row],[Adjusted_Debt_Outstanding]]*(PortfolioData[[#This Row],[Interest_Rate]]/100)</f>
        <v>155030.87506320002</v>
      </c>
      <c r="S3" s="5">
        <f>MIN(PortfolioData[[#This Row],[Debt_Outstanding]], PortfolioData[[#This Row],[Current_Value]]*0.8)</f>
        <v>4201378.7280000001</v>
      </c>
      <c r="T3" s="5">
        <f>PortfolioData[[#This Row],[Net Operating Income (NOI)]]/PortfolioData[[#This Row],[Annual_Debt_Service]]</f>
        <v>7.688268543373062</v>
      </c>
      <c r="U3" s="5">
        <f>PortfolioData[[#This Row],[Net Operating Income (NOI)]]-PortfolioData[[#This Row],[Annual_Debt_Service]]</f>
        <v>1036888.1249368</v>
      </c>
      <c r="V3" s="5">
        <f>PortfolioData[[#This Row],[Net Operating Income (NOI)]]</f>
        <v>1191919</v>
      </c>
      <c r="W3" s="3">
        <f>PortfolioData[[#This Row],[Gross_Rental_Income]] / PortfolioData[[#This Row],[Purchase_Price]]</f>
        <v>0.40615456574062347</v>
      </c>
      <c r="X3" s="3">
        <f>PortfolioData[[#This Row],[Net Operating Income (NOI)]]/PortfolioData[[#This Row],[Current_Value]]</f>
        <v>0.22695768740037281</v>
      </c>
      <c r="Y3" s="3">
        <f>(PortfolioData[[#This Row],[Current_Value]]-PortfolioData[[#This Row],[Purchase_Price]]+PortfolioData[[#This Row],[Net Operating Income (NOI)]]) / PortfolioData[[#This Row],[Purchase_Price]]</f>
        <v>0.25578913304035161</v>
      </c>
      <c r="Z3" s="5">
        <f>_xlfn.PERCENTRANK.INC(PortfolioData[ROI],PortfolioData[[#This Row],[ROI]])</f>
        <v>0.56999999999999995</v>
      </c>
      <c r="AA3" s="3" t="str">
        <f>IF(PortfolioData[[#This Row],[ROI_Percentile]]&lt;=0.1,"Underperforming","Healthy")</f>
        <v>Healthy</v>
      </c>
      <c r="AB3" s="3">
        <f>PortfolioData[[#This Row],[Debt_Outstanding]]/PortfolioData[[#This Row],[Current_Value]]</f>
        <v>2.453018751038909</v>
      </c>
      <c r="AC3">
        <f>PortfolioData[[#This Row],[Units]]*PortfolioData[[#This Row],[Avg_Rent_per_Unit]]*12</f>
        <v>2828340</v>
      </c>
      <c r="AD3" s="13">
        <f>PortfolioData[[#This Row],[Potential_Revenue]]-PortfolioData[[#This Row],[Gross_Rental_Income]]</f>
        <v>744300</v>
      </c>
      <c r="AE3" s="3">
        <f>IFERROR(PortfolioData[[#This Row],[Vacancy_Loss]]/PortfolioData[[#This Row],[Potential_Revenue]],0)</f>
        <v>0.26315789473684209</v>
      </c>
      <c r="AF3" s="17">
        <f xml:space="preserve"> (PortfolioData[[#This Row],[Vacancy_%]] * 0.4) + (PortfolioData[[#This Row],[Debt_Ratio]] * 0.3) + (PortfolioData[[#This Row],[Interest_Rate]]/100 * 0.3)</f>
        <v>0.85223878320640956</v>
      </c>
    </row>
    <row r="4" spans="1:32" x14ac:dyDescent="0.3">
      <c r="A4" t="s">
        <v>124</v>
      </c>
      <c r="B4" t="s">
        <v>22</v>
      </c>
      <c r="C4" t="s">
        <v>16</v>
      </c>
      <c r="D4">
        <v>2016</v>
      </c>
      <c r="E4">
        <v>5300981</v>
      </c>
      <c r="F4">
        <v>5096845.99</v>
      </c>
      <c r="G4">
        <v>66</v>
      </c>
      <c r="H4">
        <v>46</v>
      </c>
      <c r="I4">
        <v>2414</v>
      </c>
      <c r="J4">
        <v>221485</v>
      </c>
      <c r="K4">
        <v>468962</v>
      </c>
      <c r="L4">
        <v>11028997</v>
      </c>
      <c r="M4">
        <v>4.57</v>
      </c>
      <c r="N4" t="s">
        <v>17</v>
      </c>
      <c r="O4" s="5">
        <f>PortfolioData[[#This Row],[Occupied_Units]]*PortfolioData[[#This Row],[Avg_Rent_per_Unit]]*12</f>
        <v>1332528</v>
      </c>
      <c r="P4" s="3">
        <f>1-(PortfolioData[[#This Row],[Occupied_Units]]/PortfolioData[[#This Row],[Units]])</f>
        <v>0.30303030303030298</v>
      </c>
      <c r="Q4" s="5">
        <f>PortfolioData[[#This Row],[Gross_Rental_Income]] - PortfolioData[[#This Row],[Operating_Cost]] - PortfolioData[[#This Row],[Maintenance_Cost]]</f>
        <v>642081</v>
      </c>
      <c r="R4" s="5">
        <f>PortfolioData[[#This Row],[Adjusted_Debt_Outstanding]]*(PortfolioData[[#This Row],[Interest_Rate]]/100)</f>
        <v>186340.68939440005</v>
      </c>
      <c r="S4" s="5">
        <f>MIN(PortfolioData[[#This Row],[Debt_Outstanding]], PortfolioData[[#This Row],[Current_Value]]*0.8)</f>
        <v>4077476.7920000004</v>
      </c>
      <c r="T4" s="5">
        <f>PortfolioData[[#This Row],[Net Operating Income (NOI)]]/PortfolioData[[#This Row],[Annual_Debt_Service]]</f>
        <v>3.445736956789943</v>
      </c>
      <c r="U4" s="5">
        <f>PortfolioData[[#This Row],[Net Operating Income (NOI)]]-PortfolioData[[#This Row],[Annual_Debt_Service]]</f>
        <v>455740.31060559995</v>
      </c>
      <c r="V4" s="5">
        <f>PortfolioData[[#This Row],[Net Operating Income (NOI)]]</f>
        <v>642081</v>
      </c>
      <c r="W4" s="3">
        <f>PortfolioData[[#This Row],[Gross_Rental_Income]] / PortfolioData[[#This Row],[Purchase_Price]]</f>
        <v>0.25137384948182234</v>
      </c>
      <c r="X4" s="3">
        <f>PortfolioData[[#This Row],[Net Operating Income (NOI)]]/PortfolioData[[#This Row],[Current_Value]]</f>
        <v>0.12597614314024033</v>
      </c>
      <c r="Y4" s="3">
        <f>(PortfolioData[[#This Row],[Current_Value]]-PortfolioData[[#This Row],[Purchase_Price]]+PortfolioData[[#This Row],[Net Operating Income (NOI)]]) / PortfolioData[[#This Row],[Purchase_Price]]</f>
        <v>8.2616027108944598E-2</v>
      </c>
      <c r="Z4" s="5">
        <f>_xlfn.PERCENTRANK.INC(PortfolioData[ROI],PortfolioData[[#This Row],[ROI]])</f>
        <v>0.30199999999999999</v>
      </c>
      <c r="AA4" s="3" t="str">
        <f>IF(PortfolioData[[#This Row],[ROI_Percentile]]&lt;=0.1,"Underperforming","Healthy")</f>
        <v>Healthy</v>
      </c>
      <c r="AB4" s="3">
        <f>PortfolioData[[#This Row],[Debt_Outstanding]]/PortfolioData[[#This Row],[Current_Value]]</f>
        <v>2.1638866510070867</v>
      </c>
      <c r="AC4">
        <f>PortfolioData[[#This Row],[Units]]*PortfolioData[[#This Row],[Avg_Rent_per_Unit]]*12</f>
        <v>1911888</v>
      </c>
      <c r="AD4" s="13">
        <f>PortfolioData[[#This Row],[Potential_Revenue]]-PortfolioData[[#This Row],[Gross_Rental_Income]]</f>
        <v>579360</v>
      </c>
      <c r="AE4" s="3">
        <f>IFERROR(PortfolioData[[#This Row],[Vacancy_Loss]]/PortfolioData[[#This Row],[Potential_Revenue]],0)</f>
        <v>0.30303030303030304</v>
      </c>
      <c r="AF4" s="17">
        <f xml:space="preserve"> (PortfolioData[[#This Row],[Vacancy_%]] * 0.4) + (PortfolioData[[#This Row],[Debt_Ratio]] * 0.3) + (PortfolioData[[#This Row],[Interest_Rate]]/100 * 0.3)</f>
        <v>0.78408811651424715</v>
      </c>
    </row>
    <row r="6" spans="1:32" x14ac:dyDescent="0.3">
      <c r="A6" s="12" t="s">
        <v>217</v>
      </c>
      <c r="B6" s="13">
        <f>SUM(F2:F4)</f>
        <v>15826498.119999999</v>
      </c>
    </row>
    <row r="9" spans="1:32" x14ac:dyDescent="0.3">
      <c r="A9" s="12" t="s">
        <v>222</v>
      </c>
      <c r="B9" s="12" t="s">
        <v>219</v>
      </c>
      <c r="M9" s="45" t="s">
        <v>243</v>
      </c>
      <c r="N9" s="45"/>
    </row>
    <row r="10" spans="1:32" x14ac:dyDescent="0.3">
      <c r="A10" s="12" t="s">
        <v>218</v>
      </c>
      <c r="B10" s="12" t="s">
        <v>219</v>
      </c>
      <c r="M10" s="46" t="s">
        <v>225</v>
      </c>
      <c r="N10" s="7" t="s">
        <v>35</v>
      </c>
    </row>
    <row r="11" spans="1:32" x14ac:dyDescent="0.3">
      <c r="A11">
        <v>0</v>
      </c>
      <c r="B11" s="13">
        <f>-B6</f>
        <v>-15826498.119999999</v>
      </c>
      <c r="M11" s="47" t="s">
        <v>226</v>
      </c>
      <c r="N11" s="7" cm="1">
        <f t="array" ref="N11">_xlfn.XLOOKUP(N10,Table2[[#All],[City]],Table2[[#All],[Cap_Rate_%]])</f>
        <v>6.66</v>
      </c>
    </row>
    <row r="12" spans="1:32" x14ac:dyDescent="0.3">
      <c r="A12">
        <v>1</v>
      </c>
      <c r="B12" s="13">
        <f>B6*0.0666</f>
        <v>1054044.774792</v>
      </c>
      <c r="M12" s="7" t="s">
        <v>227</v>
      </c>
      <c r="N12" s="7" cm="1">
        <f t="array" ref="N12">_xlfn.XLOOKUP(N10,Table2[[#All],[City]],Table2[[#All],[Rental_Growth_%]])</f>
        <v>6.75</v>
      </c>
    </row>
    <row r="13" spans="1:32" x14ac:dyDescent="0.3">
      <c r="A13">
        <v>2</v>
      </c>
      <c r="B13" s="13">
        <f>B12*(1+ 6.75%)</f>
        <v>1125192.7970904598</v>
      </c>
    </row>
    <row r="14" spans="1:32" x14ac:dyDescent="0.3">
      <c r="A14">
        <v>3</v>
      </c>
      <c r="B14" s="13">
        <f>B13*(1+ 6.75%)</f>
        <v>1201143.3108940658</v>
      </c>
    </row>
    <row r="15" spans="1:32" x14ac:dyDescent="0.3">
      <c r="A15">
        <v>4</v>
      </c>
      <c r="B15" s="13">
        <f>B14*(1+ 6.75%)</f>
        <v>1282220.4843794152</v>
      </c>
      <c r="H15">
        <v>1368770.36707503</v>
      </c>
    </row>
    <row r="16" spans="1:32" x14ac:dyDescent="0.3">
      <c r="A16">
        <v>5</v>
      </c>
      <c r="B16" s="13">
        <f>(H15/0.0666)+H15</f>
        <v>21920877.980814219</v>
      </c>
    </row>
    <row r="17" spans="1:8" x14ac:dyDescent="0.3">
      <c r="A17" s="12" t="s">
        <v>220</v>
      </c>
      <c r="B17" s="23">
        <f>IRR(B11:B16)</f>
        <v>0.1219077865407896</v>
      </c>
    </row>
    <row r="18" spans="1:8" x14ac:dyDescent="0.3">
      <c r="A18" s="12" t="s">
        <v>221</v>
      </c>
      <c r="B18" s="24">
        <f>AVERAGE(Y2:Y4)</f>
        <v>0.10274340901298644</v>
      </c>
    </row>
    <row r="21" spans="1:8" x14ac:dyDescent="0.3">
      <c r="A21" s="15" t="s">
        <v>224</v>
      </c>
      <c r="B21" s="15" t="s">
        <v>219</v>
      </c>
    </row>
    <row r="22" spans="1:8" x14ac:dyDescent="0.3">
      <c r="A22" s="12" t="s">
        <v>223</v>
      </c>
      <c r="B22" s="13">
        <f>F2+F4</f>
        <v>10574774.710000001</v>
      </c>
    </row>
    <row r="23" spans="1:8" x14ac:dyDescent="0.3">
      <c r="A23" s="12" t="s">
        <v>218</v>
      </c>
      <c r="B23" s="12" t="s">
        <v>219</v>
      </c>
    </row>
    <row r="24" spans="1:8" x14ac:dyDescent="0.3">
      <c r="A24">
        <v>0</v>
      </c>
      <c r="B24" s="13">
        <f>-B22</f>
        <v>-10574774.710000001</v>
      </c>
    </row>
    <row r="25" spans="1:8" x14ac:dyDescent="0.3">
      <c r="A25">
        <v>1</v>
      </c>
      <c r="B25" s="13">
        <f>B22*0.0666</f>
        <v>704279.9956860001</v>
      </c>
    </row>
    <row r="26" spans="1:8" x14ac:dyDescent="0.3">
      <c r="A26">
        <v>2</v>
      </c>
      <c r="B26" s="13">
        <f>B25*(1+ 6.75%)</f>
        <v>751818.895394805</v>
      </c>
    </row>
    <row r="27" spans="1:8" x14ac:dyDescent="0.3">
      <c r="A27">
        <v>3</v>
      </c>
      <c r="B27" s="13">
        <f>B26*(1+ 6.75%)</f>
        <v>802566.67083395424</v>
      </c>
    </row>
    <row r="28" spans="1:8" x14ac:dyDescent="0.3">
      <c r="A28">
        <v>4</v>
      </c>
      <c r="B28" s="13">
        <f>B27*(1+ 6.75%)</f>
        <v>856739.92111524602</v>
      </c>
      <c r="H28" s="13"/>
    </row>
    <row r="29" spans="1:8" x14ac:dyDescent="0.3">
      <c r="A29">
        <v>5</v>
      </c>
      <c r="B29" s="13">
        <f>(B32/F35)+B32</f>
        <v>14646850.132915525</v>
      </c>
      <c r="H29">
        <f>SUM(H27:H28)</f>
        <v>0</v>
      </c>
    </row>
    <row r="30" spans="1:8" x14ac:dyDescent="0.3">
      <c r="A30" s="12" t="s">
        <v>220</v>
      </c>
      <c r="B30" s="24">
        <f>IRR(B24:B29)</f>
        <v>0.12190778654078915</v>
      </c>
    </row>
    <row r="31" spans="1:8" x14ac:dyDescent="0.3">
      <c r="A31" s="12" t="s">
        <v>221</v>
      </c>
      <c r="B31" s="24">
        <f>AVERAGE(Portfolio_Data!Y2,Portfolio_Data!Y4)</f>
        <v>2.6220546999303849E-2</v>
      </c>
    </row>
    <row r="32" spans="1:8" x14ac:dyDescent="0.3">
      <c r="A32" t="s">
        <v>242</v>
      </c>
      <c r="B32" s="13">
        <f>B28*(1+ 6.75%)</f>
        <v>914569.86579052499</v>
      </c>
    </row>
    <row r="34" spans="1:6" x14ac:dyDescent="0.3">
      <c r="A34" s="40" t="s">
        <v>241</v>
      </c>
      <c r="B34" s="40"/>
    </row>
    <row r="35" spans="1:6" x14ac:dyDescent="0.3">
      <c r="A35" s="41" t="s">
        <v>239</v>
      </c>
      <c r="B35" s="41" t="s">
        <v>220</v>
      </c>
      <c r="D35" s="25" t="s">
        <v>240</v>
      </c>
      <c r="E35" s="25"/>
      <c r="F35" s="44">
        <f>Market_Indicators!D4/100</f>
        <v>6.6600000000000006E-2</v>
      </c>
    </row>
    <row r="36" spans="1:6" x14ac:dyDescent="0.3">
      <c r="A36" s="42">
        <v>0.06</v>
      </c>
      <c r="B36" s="43">
        <f>IRR(CHOOSE({1,2,3,4,5,6},$B$24,$B$25,$B$26,$B$27,$B$28,$B$32+($B$32/A36)))</f>
        <v>0.14150037158018081</v>
      </c>
      <c r="D36" s="37"/>
    </row>
    <row r="37" spans="1:6" x14ac:dyDescent="0.3">
      <c r="A37" s="42">
        <v>6.25E-2</v>
      </c>
      <c r="B37" s="43">
        <f>IRR(CHOOSE({1,2,3,4,5,6},$B$24,$B$25,$B$26,$B$27,$B$28,$B$32+($B$32/A37)))</f>
        <v>0.13376433978902713</v>
      </c>
    </row>
    <row r="38" spans="1:6" x14ac:dyDescent="0.3">
      <c r="A38" s="42">
        <v>6.5000000000000002E-2</v>
      </c>
      <c r="B38" s="43">
        <f>IRR(CHOOSE({1,2,3,4,5,6},$B$24,$B$25,$B$26,$B$27,$B$28,$B$32+($B$32/A38)))</f>
        <v>0.12641905616053895</v>
      </c>
    </row>
    <row r="39" spans="1:6" x14ac:dyDescent="0.3">
      <c r="A39" s="42">
        <v>6.6600000000000006E-2</v>
      </c>
      <c r="B39" s="43">
        <f>IRR(CHOOSE({1,2,3,4,5,6},$B$24,$B$25,$B$26,$B$27,$B$28,$B$32+($B$32/A39)))</f>
        <v>0.12190778654078915</v>
      </c>
    </row>
    <row r="40" spans="1:6" x14ac:dyDescent="0.3">
      <c r="A40" s="42">
        <v>7.0000000000000007E-2</v>
      </c>
      <c r="B40" s="43">
        <f>IRR(CHOOSE({1,2,3,4,5,6},$B$24,$B$25,$B$26,$B$27,$B$28,$B$32+($B$32/A40)))</f>
        <v>0.11277304112630837</v>
      </c>
    </row>
    <row r="41" spans="1:6" x14ac:dyDescent="0.3">
      <c r="A41" s="42">
        <v>7.4999999999999997E-2</v>
      </c>
      <c r="B41" s="43">
        <f>IRR(CHOOSE({1,2,3,4,5,6},$B$24,$B$25,$B$26,$B$27,$B$28,$B$32+($B$32/A41)))</f>
        <v>0.10034204621607956</v>
      </c>
    </row>
    <row r="42" spans="1:6" x14ac:dyDescent="0.3">
      <c r="A42" s="42">
        <v>0.08</v>
      </c>
      <c r="B42" s="43">
        <f>IRR(CHOOSE({1,2,3,4,5,6},$B$24,$B$25,$B$26,$B$27,$B$28,$B$32+($B$32/A42)))</f>
        <v>8.8951349411091174E-2</v>
      </c>
    </row>
  </sheetData>
  <autoFilter ref="A35:B35" xr:uid="{1A3AB039-2654-4001-91D2-A5B86C953092}"/>
  <mergeCells count="3">
    <mergeCell ref="D35:E35"/>
    <mergeCell ref="A34:B34"/>
    <mergeCell ref="M9:N9"/>
  </mergeCells>
  <pageMargins left="0.7" right="0.7" top="0.75" bottom="0.75" header="0.3" footer="0.3"/>
  <ignoredErrors>
    <ignoredError sqref="B24 B29:B30" calculatedColumn="1"/>
  </ignoredErrors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245DF0-112A-4C98-8DF1-C5C2E4999215}">
          <x14:formula1>
            <xm:f>Market_Indicators!$A$2:$A$6</xm:f>
          </x14:formula1>
          <xm:sqref>N10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1"/>
  <sheetViews>
    <sheetView zoomScale="73" zoomScaleNormal="73" workbookViewId="0">
      <selection activeCell="AJ26" sqref="AJ26"/>
    </sheetView>
  </sheetViews>
  <sheetFormatPr defaultRowHeight="14.4" x14ac:dyDescent="0.3"/>
  <cols>
    <col min="1" max="1" width="13.33203125" bestFit="1" customWidth="1"/>
    <col min="2" max="2" width="9.88671875" bestFit="1" customWidth="1"/>
    <col min="3" max="3" width="10.33203125" bestFit="1" customWidth="1"/>
    <col min="4" max="4" width="17.33203125" bestFit="1" customWidth="1"/>
    <col min="5" max="5" width="16.109375" bestFit="1" customWidth="1"/>
    <col min="6" max="6" width="15.44140625" bestFit="1" customWidth="1"/>
    <col min="7" max="7" width="7.5546875" bestFit="1" customWidth="1"/>
    <col min="8" max="8" width="16.5546875" bestFit="1" customWidth="1"/>
    <col min="9" max="9" width="19.88671875" bestFit="1" customWidth="1"/>
    <col min="10" max="10" width="16.33203125" bestFit="1" customWidth="1"/>
    <col min="11" max="11" width="19.109375" bestFit="1" customWidth="1"/>
    <col min="12" max="12" width="18.6640625" bestFit="1" customWidth="1"/>
    <col min="13" max="13" width="14.44140625" bestFit="1" customWidth="1"/>
    <col min="14" max="14" width="13" bestFit="1" customWidth="1"/>
    <col min="15" max="15" width="22.21875" bestFit="1" customWidth="1"/>
    <col min="16" max="16" width="18.21875" bestFit="1" customWidth="1"/>
    <col min="17" max="17" width="27.88671875" bestFit="1" customWidth="1"/>
    <col min="18" max="19" width="27" customWidth="1"/>
    <col min="20" max="20" width="11.5546875" bestFit="1" customWidth="1"/>
    <col min="21" max="21" width="17.6640625" bestFit="1" customWidth="1"/>
    <col min="22" max="22" width="13.33203125" bestFit="1" customWidth="1"/>
    <col min="23" max="23" width="18.44140625" bestFit="1" customWidth="1"/>
    <col min="24" max="24" width="16" bestFit="1" customWidth="1"/>
    <col min="25" max="25" width="9.5546875" bestFit="1" customWidth="1"/>
    <col min="26" max="26" width="15.6640625" customWidth="1"/>
    <col min="27" max="27" width="19.6640625" customWidth="1"/>
    <col min="28" max="28" width="12.6640625" customWidth="1"/>
    <col min="29" max="29" width="20.21875" bestFit="1" customWidth="1"/>
    <col min="30" max="30" width="16" customWidth="1"/>
    <col min="31" max="31" width="17.5546875" customWidth="1"/>
    <col min="32" max="32" width="12.886718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181</v>
      </c>
      <c r="P1" s="2" t="s">
        <v>182</v>
      </c>
      <c r="Q1" s="6" t="s">
        <v>183</v>
      </c>
      <c r="R1" s="6" t="s">
        <v>187</v>
      </c>
      <c r="S1" s="6" t="s">
        <v>214</v>
      </c>
      <c r="T1" s="6" t="s">
        <v>188</v>
      </c>
      <c r="U1" s="6" t="s">
        <v>189</v>
      </c>
      <c r="V1" s="1" t="s">
        <v>184</v>
      </c>
      <c r="W1" s="2" t="s">
        <v>185</v>
      </c>
      <c r="X1" s="2" t="s">
        <v>186</v>
      </c>
      <c r="Y1" s="2" t="s">
        <v>190</v>
      </c>
      <c r="Z1" s="1" t="s">
        <v>200</v>
      </c>
      <c r="AA1" s="1" t="s">
        <v>201</v>
      </c>
      <c r="AB1" s="2" t="s">
        <v>204</v>
      </c>
      <c r="AC1" s="1" t="s">
        <v>207</v>
      </c>
      <c r="AD1" s="14" t="s">
        <v>208</v>
      </c>
      <c r="AE1" s="2" t="s">
        <v>209</v>
      </c>
      <c r="AF1" s="16" t="s">
        <v>213</v>
      </c>
    </row>
    <row r="2" spans="1:34" x14ac:dyDescent="0.3">
      <c r="A2" t="s">
        <v>126</v>
      </c>
      <c r="B2" t="s">
        <v>27</v>
      </c>
      <c r="C2" t="s">
        <v>23</v>
      </c>
      <c r="D2">
        <v>2020</v>
      </c>
      <c r="E2">
        <v>5926551</v>
      </c>
      <c r="F2">
        <v>5477928.7199999997</v>
      </c>
      <c r="G2">
        <v>71</v>
      </c>
      <c r="H2">
        <v>57</v>
      </c>
      <c r="I2">
        <v>1573</v>
      </c>
      <c r="J2">
        <v>422066</v>
      </c>
      <c r="K2">
        <v>384077</v>
      </c>
      <c r="L2">
        <v>13983693</v>
      </c>
      <c r="M2">
        <v>5.79</v>
      </c>
      <c r="N2" t="s">
        <v>24</v>
      </c>
      <c r="O2" s="5">
        <f>PortfolioData[[#This Row],[Occupied_Units]]*PortfolioData[[#This Row],[Avg_Rent_per_Unit]]*12</f>
        <v>1075932</v>
      </c>
      <c r="P2" s="3">
        <f>1-(PortfolioData[[#This Row],[Occupied_Units]]/PortfolioData[[#This Row],[Units]])</f>
        <v>0.19718309859154926</v>
      </c>
      <c r="Q2" s="5">
        <f>PortfolioData[[#This Row],[Gross_Rental_Income]] - PortfolioData[[#This Row],[Operating_Cost]] - PortfolioData[[#This Row],[Maintenance_Cost]]</f>
        <v>269789</v>
      </c>
      <c r="R2" s="5">
        <f>PortfolioData[[#This Row],[Adjusted_Debt_Outstanding]]*(PortfolioData[[#This Row],[Interest_Rate]]/100)</f>
        <v>253737.6583104</v>
      </c>
      <c r="S2" s="5">
        <f>MIN(PortfolioData[[#This Row],[Debt_Outstanding]], PortfolioData[[#This Row],[Current_Value]]*0.8)</f>
        <v>4382342.9759999998</v>
      </c>
      <c r="T2" s="5">
        <f>PortfolioData[[#This Row],[Net Operating Income (NOI)]]/PortfolioData[[#This Row],[Annual_Debt_Service]]</f>
        <v>1.0632595957434281</v>
      </c>
      <c r="U2" s="5">
        <f>PortfolioData[[#This Row],[Net Operating Income (NOI)]]-PortfolioData[[#This Row],[Annual_Debt_Service]]</f>
        <v>16051.341689599998</v>
      </c>
      <c r="V2" s="5">
        <f>PortfolioData[[#This Row],[Net Operating Income (NOI)]]</f>
        <v>269789</v>
      </c>
      <c r="W2" s="3">
        <f>PortfolioData[[#This Row],[Gross_Rental_Income]] / PortfolioData[[#This Row],[Purchase_Price]]</f>
        <v>0.1815443754723447</v>
      </c>
      <c r="X2" s="3">
        <f>PortfolioData[[#This Row],[Net Operating Income (NOI)]]/PortfolioData[[#This Row],[Current_Value]]</f>
        <v>4.925018447483559E-2</v>
      </c>
      <c r="Y2" s="3">
        <f>(PortfolioData[[#This Row],[Current_Value]]-PortfolioData[[#This Row],[Purchase_Price]]+PortfolioData[[#This Row],[Net Operating Income (NOI)]]) / PortfolioData[[#This Row],[Purchase_Price]]</f>
        <v>-3.01749331103369E-2</v>
      </c>
      <c r="Z2" s="5">
        <f>_xlfn.PERCENTRANK.INC(PortfolioData[ROI],PortfolioData[[#This Row],[ROI]])</f>
        <v>0.127</v>
      </c>
      <c r="AA2" s="3" t="str">
        <f>IF(PortfolioData[[#This Row],[ROI_Percentile]]&lt;=0.1,"Underperforming","Healthy")</f>
        <v>Healthy</v>
      </c>
      <c r="AB2" s="3">
        <f>PortfolioData[[#This Row],[Debt_Outstanding]]/PortfolioData[[#This Row],[Current_Value]]</f>
        <v>2.5527336544094354</v>
      </c>
      <c r="AC2">
        <f>PortfolioData[[#This Row],[Units]]*PortfolioData[[#This Row],[Avg_Rent_per_Unit]]*12</f>
        <v>1340196</v>
      </c>
      <c r="AD2" s="13">
        <f>PortfolioData[[#This Row],[Potential_Revenue]]-PortfolioData[[#This Row],[Gross_Rental_Income]]</f>
        <v>264264</v>
      </c>
      <c r="AE2" s="3">
        <f>IFERROR(PortfolioData[[#This Row],[Vacancy_Loss]]/PortfolioData[[#This Row],[Potential_Revenue]],0)</f>
        <v>0.19718309859154928</v>
      </c>
      <c r="AF2" s="17">
        <f xml:space="preserve"> (PortfolioData[[#This Row],[Vacancy_%]] * 0.4) + (PortfolioData[[#This Row],[Debt_Ratio]] * 0.3) + (PortfolioData[[#This Row],[Interest_Rate]]/100 * 0.3)</f>
        <v>0.86206333575945038</v>
      </c>
    </row>
    <row r="3" spans="1:34" x14ac:dyDescent="0.3">
      <c r="A3" t="s">
        <v>167</v>
      </c>
      <c r="B3" t="s">
        <v>19</v>
      </c>
      <c r="C3" t="s">
        <v>20</v>
      </c>
      <c r="D3">
        <v>2020</v>
      </c>
      <c r="E3">
        <v>5131150</v>
      </c>
      <c r="F3">
        <v>5251723.41</v>
      </c>
      <c r="G3">
        <v>57</v>
      </c>
      <c r="H3">
        <v>42</v>
      </c>
      <c r="I3">
        <v>4135</v>
      </c>
      <c r="J3">
        <v>453835</v>
      </c>
      <c r="K3">
        <v>438286</v>
      </c>
      <c r="L3">
        <v>12882576</v>
      </c>
      <c r="M3">
        <v>3.69</v>
      </c>
      <c r="N3" t="s">
        <v>17</v>
      </c>
      <c r="O3" s="5">
        <f>PortfolioData[[#This Row],[Occupied_Units]]*PortfolioData[[#This Row],[Avg_Rent_per_Unit]]*12</f>
        <v>2084040</v>
      </c>
      <c r="P3" s="3">
        <f>1-(PortfolioData[[#This Row],[Occupied_Units]]/PortfolioData[[#This Row],[Units]])</f>
        <v>0.26315789473684215</v>
      </c>
      <c r="Q3" s="5">
        <f>PortfolioData[[#This Row],[Gross_Rental_Income]] - PortfolioData[[#This Row],[Operating_Cost]] - PortfolioData[[#This Row],[Maintenance_Cost]]</f>
        <v>1191919</v>
      </c>
      <c r="R3" s="5">
        <f>PortfolioData[[#This Row],[Adjusted_Debt_Outstanding]]*(PortfolioData[[#This Row],[Interest_Rate]]/100)</f>
        <v>155030.87506320002</v>
      </c>
      <c r="S3" s="5">
        <f>MIN(PortfolioData[[#This Row],[Debt_Outstanding]], PortfolioData[[#This Row],[Current_Value]]*0.8)</f>
        <v>4201378.7280000001</v>
      </c>
      <c r="T3" s="5">
        <f>PortfolioData[[#This Row],[Net Operating Income (NOI)]]/PortfolioData[[#This Row],[Annual_Debt_Service]]</f>
        <v>7.688268543373062</v>
      </c>
      <c r="U3" s="5">
        <f>PortfolioData[[#This Row],[Net Operating Income (NOI)]]-PortfolioData[[#This Row],[Annual_Debt_Service]]</f>
        <v>1036888.1249368</v>
      </c>
      <c r="V3" s="5">
        <f>PortfolioData[[#This Row],[Net Operating Income (NOI)]]</f>
        <v>1191919</v>
      </c>
      <c r="W3" s="3">
        <f>PortfolioData[[#This Row],[Gross_Rental_Income]] / PortfolioData[[#This Row],[Purchase_Price]]</f>
        <v>0.40615456574062347</v>
      </c>
      <c r="X3" s="3">
        <f>PortfolioData[[#This Row],[Net Operating Income (NOI)]]/PortfolioData[[#This Row],[Current_Value]]</f>
        <v>0.22695768740037281</v>
      </c>
      <c r="Y3" s="3">
        <f>(PortfolioData[[#This Row],[Current_Value]]-PortfolioData[[#This Row],[Purchase_Price]]+PortfolioData[[#This Row],[Net Operating Income (NOI)]]) / PortfolioData[[#This Row],[Purchase_Price]]</f>
        <v>0.25578913304035161</v>
      </c>
      <c r="Z3" s="5">
        <f>_xlfn.PERCENTRANK.INC(PortfolioData[ROI],PortfolioData[[#This Row],[ROI]])</f>
        <v>0.56999999999999995</v>
      </c>
      <c r="AA3" s="3" t="str">
        <f>IF(PortfolioData[[#This Row],[ROI_Percentile]]&lt;=0.1,"Underperforming","Healthy")</f>
        <v>Healthy</v>
      </c>
      <c r="AB3" s="3">
        <f>PortfolioData[[#This Row],[Debt_Outstanding]]/PortfolioData[[#This Row],[Current_Value]]</f>
        <v>2.453018751038909</v>
      </c>
      <c r="AC3">
        <f>PortfolioData[[#This Row],[Units]]*PortfolioData[[#This Row],[Avg_Rent_per_Unit]]*12</f>
        <v>2828340</v>
      </c>
      <c r="AD3" s="13">
        <f>PortfolioData[[#This Row],[Potential_Revenue]]-PortfolioData[[#This Row],[Gross_Rental_Income]]</f>
        <v>744300</v>
      </c>
      <c r="AE3" s="3">
        <f>IFERROR(PortfolioData[[#This Row],[Vacancy_Loss]]/PortfolioData[[#This Row],[Potential_Revenue]],0)</f>
        <v>0.26315789473684209</v>
      </c>
      <c r="AF3" s="17">
        <f xml:space="preserve"> (PortfolioData[[#This Row],[Vacancy_%]] * 0.4) + (PortfolioData[[#This Row],[Debt_Ratio]] * 0.3) + (PortfolioData[[#This Row],[Interest_Rate]]/100 * 0.3)</f>
        <v>0.85223878320640956</v>
      </c>
    </row>
    <row r="4" spans="1:34" x14ac:dyDescent="0.3">
      <c r="A4" t="s">
        <v>124</v>
      </c>
      <c r="B4" t="s">
        <v>22</v>
      </c>
      <c r="C4" t="s">
        <v>16</v>
      </c>
      <c r="D4">
        <v>2016</v>
      </c>
      <c r="E4">
        <v>5300981</v>
      </c>
      <c r="F4">
        <v>5096845.99</v>
      </c>
      <c r="G4">
        <v>66</v>
      </c>
      <c r="H4">
        <v>46</v>
      </c>
      <c r="I4">
        <v>2414</v>
      </c>
      <c r="J4">
        <v>221485</v>
      </c>
      <c r="K4">
        <v>468962</v>
      </c>
      <c r="L4">
        <v>11028997</v>
      </c>
      <c r="M4">
        <v>4.57</v>
      </c>
      <c r="N4" t="s">
        <v>17</v>
      </c>
      <c r="O4" s="5">
        <f>PortfolioData[[#This Row],[Occupied_Units]]*PortfolioData[[#This Row],[Avg_Rent_per_Unit]]*12</f>
        <v>1332528</v>
      </c>
      <c r="P4" s="3">
        <f>1-(PortfolioData[[#This Row],[Occupied_Units]]/PortfolioData[[#This Row],[Units]])</f>
        <v>0.30303030303030298</v>
      </c>
      <c r="Q4" s="5">
        <f>PortfolioData[[#This Row],[Gross_Rental_Income]] - PortfolioData[[#This Row],[Operating_Cost]] - PortfolioData[[#This Row],[Maintenance_Cost]]</f>
        <v>642081</v>
      </c>
      <c r="R4" s="5">
        <f>PortfolioData[[#This Row],[Adjusted_Debt_Outstanding]]*(PortfolioData[[#This Row],[Interest_Rate]]/100)</f>
        <v>186340.68939440005</v>
      </c>
      <c r="S4" s="5">
        <f>MIN(PortfolioData[[#This Row],[Debt_Outstanding]], PortfolioData[[#This Row],[Current_Value]]*0.8)</f>
        <v>4077476.7920000004</v>
      </c>
      <c r="T4" s="5">
        <f>PortfolioData[[#This Row],[Net Operating Income (NOI)]]/PortfolioData[[#This Row],[Annual_Debt_Service]]</f>
        <v>3.445736956789943</v>
      </c>
      <c r="U4" s="5">
        <f>PortfolioData[[#This Row],[Net Operating Income (NOI)]]-PortfolioData[[#This Row],[Annual_Debt_Service]]</f>
        <v>455740.31060559995</v>
      </c>
      <c r="V4" s="5">
        <f>PortfolioData[[#This Row],[Net Operating Income (NOI)]]</f>
        <v>642081</v>
      </c>
      <c r="W4" s="3">
        <f>PortfolioData[[#This Row],[Gross_Rental_Income]] / PortfolioData[[#This Row],[Purchase_Price]]</f>
        <v>0.25137384948182234</v>
      </c>
      <c r="X4" s="3">
        <f>PortfolioData[[#This Row],[Net Operating Income (NOI)]]/PortfolioData[[#This Row],[Current_Value]]</f>
        <v>0.12597614314024033</v>
      </c>
      <c r="Y4" s="3">
        <f>(PortfolioData[[#This Row],[Current_Value]]-PortfolioData[[#This Row],[Purchase_Price]]+PortfolioData[[#This Row],[Net Operating Income (NOI)]]) / PortfolioData[[#This Row],[Purchase_Price]]</f>
        <v>8.2616027108944598E-2</v>
      </c>
      <c r="Z4" s="5">
        <f>_xlfn.PERCENTRANK.INC(PortfolioData[ROI],PortfolioData[[#This Row],[ROI]])</f>
        <v>0.30199999999999999</v>
      </c>
      <c r="AA4" s="3" t="str">
        <f>IF(PortfolioData[[#This Row],[ROI_Percentile]]&lt;=0.1,"Underperforming","Healthy")</f>
        <v>Healthy</v>
      </c>
      <c r="AB4" s="3">
        <f>PortfolioData[[#This Row],[Debt_Outstanding]]/PortfolioData[[#This Row],[Current_Value]]</f>
        <v>2.1638866510070867</v>
      </c>
      <c r="AC4">
        <f>PortfolioData[[#This Row],[Units]]*PortfolioData[[#This Row],[Avg_Rent_per_Unit]]*12</f>
        <v>1911888</v>
      </c>
      <c r="AD4" s="13">
        <f>PortfolioData[[#This Row],[Potential_Revenue]]-PortfolioData[[#This Row],[Gross_Rental_Income]]</f>
        <v>579360</v>
      </c>
      <c r="AE4" s="3">
        <f>IFERROR(PortfolioData[[#This Row],[Vacancy_Loss]]/PortfolioData[[#This Row],[Potential_Revenue]],0)</f>
        <v>0.30303030303030304</v>
      </c>
      <c r="AF4" s="17">
        <f xml:space="preserve"> (PortfolioData[[#This Row],[Vacancy_%]] * 0.4) + (PortfolioData[[#This Row],[Debt_Ratio]] * 0.3) + (PortfolioData[[#This Row],[Interest_Rate]]/100 * 0.3)</f>
        <v>0.78408811651424715</v>
      </c>
    </row>
    <row r="5" spans="1:34" x14ac:dyDescent="0.3">
      <c r="A5" t="s">
        <v>78</v>
      </c>
      <c r="B5" t="s">
        <v>19</v>
      </c>
      <c r="C5" t="s">
        <v>23</v>
      </c>
      <c r="D5">
        <v>2012</v>
      </c>
      <c r="E5">
        <v>7451126</v>
      </c>
      <c r="F5">
        <v>6882757.9199999999</v>
      </c>
      <c r="G5">
        <v>33</v>
      </c>
      <c r="H5">
        <v>24</v>
      </c>
      <c r="I5">
        <v>2746</v>
      </c>
      <c r="J5">
        <v>505023</v>
      </c>
      <c r="K5">
        <v>311008</v>
      </c>
      <c r="L5">
        <v>14255329</v>
      </c>
      <c r="M5">
        <v>5.81</v>
      </c>
      <c r="N5" t="s">
        <v>17</v>
      </c>
      <c r="O5" s="5">
        <f>PortfolioData[[#This Row],[Occupied_Units]]*PortfolioData[[#This Row],[Avg_Rent_per_Unit]]*12</f>
        <v>790848</v>
      </c>
      <c r="P5" s="3">
        <f>1-(PortfolioData[[#This Row],[Occupied_Units]]/PortfolioData[[#This Row],[Units]])</f>
        <v>0.27272727272727271</v>
      </c>
      <c r="Q5" s="5">
        <f>PortfolioData[[#This Row],[Gross_Rental_Income]] - PortfolioData[[#This Row],[Operating_Cost]] - PortfolioData[[#This Row],[Maintenance_Cost]]</f>
        <v>-25183</v>
      </c>
      <c r="R5" s="5">
        <f>PortfolioData[[#This Row],[Adjusted_Debt_Outstanding]]*(PortfolioData[[#This Row],[Interest_Rate]]/100)</f>
        <v>319910.58812159998</v>
      </c>
      <c r="S5" s="5">
        <f>MIN(PortfolioData[[#This Row],[Debt_Outstanding]], PortfolioData[[#This Row],[Current_Value]]*0.8)</f>
        <v>5506206.3360000001</v>
      </c>
      <c r="T5" s="5">
        <f>PortfolioData[[#This Row],[Net Operating Income (NOI)]]/PortfolioData[[#This Row],[Annual_Debt_Service]]</f>
        <v>-7.8718870006352484E-2</v>
      </c>
      <c r="U5" s="5">
        <f>PortfolioData[[#This Row],[Net Operating Income (NOI)]]-PortfolioData[[#This Row],[Annual_Debt_Service]]</f>
        <v>-345093.58812159998</v>
      </c>
      <c r="V5" s="5">
        <f>PortfolioData[[#This Row],[Net Operating Income (NOI)]]</f>
        <v>-25183</v>
      </c>
      <c r="W5" s="3">
        <f>PortfolioData[[#This Row],[Gross_Rental_Income]] / PortfolioData[[#This Row],[Purchase_Price]]</f>
        <v>0.10613805215480183</v>
      </c>
      <c r="X5" s="3">
        <f>PortfolioData[[#This Row],[Net Operating Income (NOI)]]/PortfolioData[[#This Row],[Current_Value]]</f>
        <v>-3.6588530778952633E-3</v>
      </c>
      <c r="Y5" s="3">
        <f>(PortfolioData[[#This Row],[Current_Value]]-PortfolioData[[#This Row],[Purchase_Price]]+PortfolioData[[#This Row],[Net Operating Income (NOI)]]) / PortfolioData[[#This Row],[Purchase_Price]]</f>
        <v>-7.9659246132732162E-2</v>
      </c>
      <c r="Z5" s="5">
        <f>_xlfn.PERCENTRANK.INC(PortfolioData[ROI],PortfolioData[[#This Row],[ROI]])</f>
        <v>0.04</v>
      </c>
      <c r="AA5" s="3" t="str">
        <f>IF(PortfolioData[[#This Row],[ROI_Percentile]]&lt;=0.1,"Underperforming","Healthy")</f>
        <v>Underperforming</v>
      </c>
      <c r="AB5" s="3">
        <f>PortfolioData[[#This Row],[Debt_Outstanding]]/PortfolioData[[#This Row],[Current_Value]]</f>
        <v>2.0711652459222334</v>
      </c>
      <c r="AC5">
        <f>PortfolioData[[#This Row],[Units]]*PortfolioData[[#This Row],[Avg_Rent_per_Unit]]*12</f>
        <v>1087416</v>
      </c>
      <c r="AD5" s="13">
        <f>PortfolioData[[#This Row],[Potential_Revenue]]-PortfolioData[[#This Row],[Gross_Rental_Income]]</f>
        <v>296568</v>
      </c>
      <c r="AE5" s="3">
        <f>IFERROR(PortfolioData[[#This Row],[Vacancy_Loss]]/PortfolioData[[#This Row],[Potential_Revenue]],0)</f>
        <v>0.27272727272727271</v>
      </c>
      <c r="AF5" s="17">
        <f xml:space="preserve"> (PortfolioData[[#This Row],[Vacancy_%]] * 0.4) + (PortfolioData[[#This Row],[Debt_Ratio]] * 0.3) + (PortfolioData[[#This Row],[Interest_Rate]]/100 * 0.3)</f>
        <v>0.74787048286757907</v>
      </c>
    </row>
    <row r="6" spans="1:34" x14ac:dyDescent="0.3">
      <c r="A6" t="s">
        <v>106</v>
      </c>
      <c r="B6" t="s">
        <v>35</v>
      </c>
      <c r="C6" t="s">
        <v>20</v>
      </c>
      <c r="D6">
        <v>2010</v>
      </c>
      <c r="E6">
        <v>5016882</v>
      </c>
      <c r="F6">
        <v>4520108.38</v>
      </c>
      <c r="G6">
        <v>43</v>
      </c>
      <c r="H6">
        <v>30</v>
      </c>
      <c r="I6">
        <v>2409</v>
      </c>
      <c r="J6">
        <v>491311</v>
      </c>
      <c r="K6">
        <v>142175</v>
      </c>
      <c r="L6">
        <v>7365453</v>
      </c>
      <c r="M6">
        <v>5.58</v>
      </c>
      <c r="N6" t="s">
        <v>17</v>
      </c>
      <c r="O6" s="5">
        <f>PortfolioData[[#This Row],[Occupied_Units]]*PortfolioData[[#This Row],[Avg_Rent_per_Unit]]*12</f>
        <v>867240</v>
      </c>
      <c r="P6" s="3">
        <f>1-(PortfolioData[[#This Row],[Occupied_Units]]/PortfolioData[[#This Row],[Units]])</f>
        <v>0.30232558139534882</v>
      </c>
      <c r="Q6" s="5">
        <f>PortfolioData[[#This Row],[Gross_Rental_Income]] - PortfolioData[[#This Row],[Operating_Cost]] - PortfolioData[[#This Row],[Maintenance_Cost]]</f>
        <v>233754</v>
      </c>
      <c r="R6" s="5">
        <f>PortfolioData[[#This Row],[Adjusted_Debt_Outstanding]]*(PortfolioData[[#This Row],[Interest_Rate]]/100)</f>
        <v>201777.6380832</v>
      </c>
      <c r="S6" s="5">
        <f>MIN(PortfolioData[[#This Row],[Debt_Outstanding]], PortfolioData[[#This Row],[Current_Value]]*0.8)</f>
        <v>3616086.7039999999</v>
      </c>
      <c r="T6" s="5">
        <f>PortfolioData[[#This Row],[Net Operating Income (NOI)]]/PortfolioData[[#This Row],[Annual_Debt_Service]]</f>
        <v>1.1584732689933412</v>
      </c>
      <c r="U6" s="5">
        <f>PortfolioData[[#This Row],[Net Operating Income (NOI)]]-PortfolioData[[#This Row],[Annual_Debt_Service]]</f>
        <v>31976.3619168</v>
      </c>
      <c r="V6" s="5">
        <f>PortfolioData[[#This Row],[Net Operating Income (NOI)]]</f>
        <v>233754</v>
      </c>
      <c r="W6" s="3">
        <f>PortfolioData[[#This Row],[Gross_Rental_Income]] / PortfolioData[[#This Row],[Purchase_Price]]</f>
        <v>0.17286434083958921</v>
      </c>
      <c r="X6" s="3">
        <f>PortfolioData[[#This Row],[Net Operating Income (NOI)]]/PortfolioData[[#This Row],[Current_Value]]</f>
        <v>5.1714246727862755E-2</v>
      </c>
      <c r="Y6" s="3">
        <f>(PortfolioData[[#This Row],[Current_Value]]-PortfolioData[[#This Row],[Purchase_Price]]+PortfolioData[[#This Row],[Net Operating Income (NOI)]]) / PortfolioData[[#This Row],[Purchase_Price]]</f>
        <v>-5.2426909781812712E-2</v>
      </c>
      <c r="Z6" s="5">
        <f>_xlfn.PERCENTRANK.INC(PortfolioData[ROI],PortfolioData[[#This Row],[ROI]])</f>
        <v>0.06</v>
      </c>
      <c r="AA6" s="3" t="str">
        <f>IF(PortfolioData[[#This Row],[ROI_Percentile]]&lt;=0.1,"Underperforming","Healthy")</f>
        <v>Underperforming</v>
      </c>
      <c r="AB6" s="3">
        <f>PortfolioData[[#This Row],[Debt_Outstanding]]/PortfolioData[[#This Row],[Current_Value]]</f>
        <v>1.6294859283882923</v>
      </c>
      <c r="AC6">
        <f>PortfolioData[[#This Row],[Units]]*PortfolioData[[#This Row],[Avg_Rent_per_Unit]]*12</f>
        <v>1243044</v>
      </c>
      <c r="AD6" s="13">
        <f>PortfolioData[[#This Row],[Potential_Revenue]]-PortfolioData[[#This Row],[Gross_Rental_Income]]</f>
        <v>375804</v>
      </c>
      <c r="AE6" s="3">
        <f>IFERROR(PortfolioData[[#This Row],[Vacancy_Loss]]/PortfolioData[[#This Row],[Potential_Revenue]],0)</f>
        <v>0.30232558139534882</v>
      </c>
      <c r="AF6" s="17">
        <f xml:space="preserve"> (PortfolioData[[#This Row],[Vacancy_%]] * 0.4) + (PortfolioData[[#This Row],[Debt_Ratio]] * 0.3) + (PortfolioData[[#This Row],[Interest_Rate]]/100 * 0.3)</f>
        <v>0.62651601107462718</v>
      </c>
    </row>
    <row r="7" spans="1:34" x14ac:dyDescent="0.3">
      <c r="A7" t="s">
        <v>117</v>
      </c>
      <c r="B7" t="s">
        <v>27</v>
      </c>
      <c r="C7" t="s">
        <v>16</v>
      </c>
      <c r="D7">
        <v>2016</v>
      </c>
      <c r="E7">
        <v>7933523</v>
      </c>
      <c r="F7">
        <v>8773658.1600000001</v>
      </c>
      <c r="G7">
        <v>74</v>
      </c>
      <c r="H7">
        <v>55</v>
      </c>
      <c r="I7">
        <v>5525</v>
      </c>
      <c r="J7">
        <v>253604</v>
      </c>
      <c r="K7">
        <v>489093</v>
      </c>
      <c r="L7">
        <v>14782621</v>
      </c>
      <c r="M7">
        <v>5.08</v>
      </c>
      <c r="N7" t="s">
        <v>24</v>
      </c>
      <c r="O7" s="5">
        <f>PortfolioData[[#This Row],[Occupied_Units]]*PortfolioData[[#This Row],[Avg_Rent_per_Unit]]*12</f>
        <v>3646500</v>
      </c>
      <c r="P7" s="3">
        <f>1-(PortfolioData[[#This Row],[Occupied_Units]]/PortfolioData[[#This Row],[Units]])</f>
        <v>0.2567567567567568</v>
      </c>
      <c r="Q7" s="5">
        <f>PortfolioData[[#This Row],[Gross_Rental_Income]] - PortfolioData[[#This Row],[Operating_Cost]] - PortfolioData[[#This Row],[Maintenance_Cost]]</f>
        <v>2903803</v>
      </c>
      <c r="R7" s="5">
        <f>PortfolioData[[#This Row],[Adjusted_Debt_Outstanding]]*(PortfolioData[[#This Row],[Interest_Rate]]/100)</f>
        <v>356561.46762240003</v>
      </c>
      <c r="S7" s="5">
        <f>MIN(PortfolioData[[#This Row],[Debt_Outstanding]], PortfolioData[[#This Row],[Current_Value]]*0.8)</f>
        <v>7018926.5280000009</v>
      </c>
      <c r="T7" s="5">
        <f>PortfolioData[[#This Row],[Net Operating Income (NOI)]]/PortfolioData[[#This Row],[Annual_Debt_Service]]</f>
        <v>8.1439057881462915</v>
      </c>
      <c r="U7" s="5">
        <f>PortfolioData[[#This Row],[Net Operating Income (NOI)]]-PortfolioData[[#This Row],[Annual_Debt_Service]]</f>
        <v>2547241.5323775997</v>
      </c>
      <c r="V7" s="5">
        <f>PortfolioData[[#This Row],[Net Operating Income (NOI)]]</f>
        <v>2903803</v>
      </c>
      <c r="W7" s="3">
        <f>PortfolioData[[#This Row],[Gross_Rental_Income]] / PortfolioData[[#This Row],[Purchase_Price]]</f>
        <v>0.45963186846499343</v>
      </c>
      <c r="X7" s="3">
        <f>PortfolioData[[#This Row],[Net Operating Income (NOI)]]/PortfolioData[[#This Row],[Current_Value]]</f>
        <v>0.33096833123026531</v>
      </c>
      <c r="Y7" s="3">
        <f>(PortfolioData[[#This Row],[Current_Value]]-PortfolioData[[#This Row],[Purchase_Price]]+PortfolioData[[#This Row],[Net Operating Income (NOI)]]) / PortfolioData[[#This Row],[Purchase_Price]]</f>
        <v>0.47191369584483467</v>
      </c>
      <c r="Z7" s="5">
        <f>_xlfn.PERCENTRANK.INC(PortfolioData[ROI],PortfolioData[[#This Row],[ROI]])</f>
        <v>0.93899999999999995</v>
      </c>
      <c r="AA7" s="3" t="str">
        <f>IF(PortfolioData[[#This Row],[ROI_Percentile]]&lt;=0.1,"Underperforming","Healthy")</f>
        <v>Healthy</v>
      </c>
      <c r="AB7" s="3">
        <f>PortfolioData[[#This Row],[Debt_Outstanding]]/PortfolioData[[#This Row],[Current_Value]]</f>
        <v>1.6848868203454144</v>
      </c>
      <c r="AC7">
        <f>PortfolioData[[#This Row],[Units]]*PortfolioData[[#This Row],[Avg_Rent_per_Unit]]*12</f>
        <v>4906200</v>
      </c>
      <c r="AD7" s="13">
        <f>PortfolioData[[#This Row],[Potential_Revenue]]-PortfolioData[[#This Row],[Gross_Rental_Income]]</f>
        <v>1259700</v>
      </c>
      <c r="AE7" s="3">
        <f>IFERROR(PortfolioData[[#This Row],[Vacancy_Loss]]/PortfolioData[[#This Row],[Potential_Revenue]],0)</f>
        <v>0.25675675675675674</v>
      </c>
      <c r="AF7" s="17">
        <f xml:space="preserve"> (PortfolioData[[#This Row],[Vacancy_%]] * 0.4) + (PortfolioData[[#This Row],[Debt_Ratio]] * 0.3) + (PortfolioData[[#This Row],[Interest_Rate]]/100 * 0.3)</f>
        <v>0.62340874880632713</v>
      </c>
    </row>
    <row r="8" spans="1:34" x14ac:dyDescent="0.3">
      <c r="A8" t="s">
        <v>52</v>
      </c>
      <c r="B8" t="s">
        <v>22</v>
      </c>
      <c r="C8" t="s">
        <v>23</v>
      </c>
      <c r="D8">
        <v>2013</v>
      </c>
      <c r="E8">
        <v>5218931</v>
      </c>
      <c r="F8">
        <v>6879819.4100000001</v>
      </c>
      <c r="G8">
        <v>44</v>
      </c>
      <c r="H8">
        <v>36</v>
      </c>
      <c r="I8">
        <v>2992</v>
      </c>
      <c r="J8">
        <v>704637</v>
      </c>
      <c r="K8">
        <v>487215</v>
      </c>
      <c r="L8">
        <v>11562019</v>
      </c>
      <c r="M8">
        <v>6.91</v>
      </c>
      <c r="N8" t="s">
        <v>24</v>
      </c>
      <c r="O8" s="5">
        <f>PortfolioData[[#This Row],[Occupied_Units]]*PortfolioData[[#This Row],[Avg_Rent_per_Unit]]*12</f>
        <v>1292544</v>
      </c>
      <c r="P8" s="3">
        <f>1-(PortfolioData[[#This Row],[Occupied_Units]]/PortfolioData[[#This Row],[Units]])</f>
        <v>0.18181818181818177</v>
      </c>
      <c r="Q8" s="5">
        <f>PortfolioData[[#This Row],[Gross_Rental_Income]] - PortfolioData[[#This Row],[Operating_Cost]] - PortfolioData[[#This Row],[Maintenance_Cost]]</f>
        <v>100692</v>
      </c>
      <c r="R8" s="5">
        <f>PortfolioData[[#This Row],[Adjusted_Debt_Outstanding]]*(PortfolioData[[#This Row],[Interest_Rate]]/100)</f>
        <v>380316.41698480002</v>
      </c>
      <c r="S8" s="5">
        <f>MIN(PortfolioData[[#This Row],[Debt_Outstanding]], PortfolioData[[#This Row],[Current_Value]]*0.8)</f>
        <v>5503855.5280000009</v>
      </c>
      <c r="T8" s="5">
        <f>PortfolioData[[#This Row],[Net Operating Income (NOI)]]/PortfolioData[[#This Row],[Annual_Debt_Service]]</f>
        <v>0.26475848925560402</v>
      </c>
      <c r="U8" s="5">
        <f>PortfolioData[[#This Row],[Net Operating Income (NOI)]]-PortfolioData[[#This Row],[Annual_Debt_Service]]</f>
        <v>-279624.41698480002</v>
      </c>
      <c r="V8" s="5">
        <f>PortfolioData[[#This Row],[Net Operating Income (NOI)]]</f>
        <v>100692</v>
      </c>
      <c r="W8" s="3">
        <f>PortfolioData[[#This Row],[Gross_Rental_Income]] / PortfolioData[[#This Row],[Purchase_Price]]</f>
        <v>0.24766451213859697</v>
      </c>
      <c r="X8" s="3">
        <f>PortfolioData[[#This Row],[Net Operating Income (NOI)]]/PortfolioData[[#This Row],[Current_Value]]</f>
        <v>1.4635849286049791E-2</v>
      </c>
      <c r="Y8" s="3">
        <f>(PortfolioData[[#This Row],[Current_Value]]-PortfolioData[[#This Row],[Purchase_Price]]+PortfolioData[[#This Row],[Net Operating Income (NOI)]]) / PortfolioData[[#This Row],[Purchase_Price]]</f>
        <v>0.33753663537609524</v>
      </c>
      <c r="Z8" s="5">
        <f>_xlfn.PERCENTRANK.INC(PortfolioData[ROI],PortfolioData[[#This Row],[ROI]])</f>
        <v>0.75800000000000001</v>
      </c>
      <c r="AA8" s="3" t="str">
        <f>IF(PortfolioData[[#This Row],[ROI_Percentile]]&lt;=0.1,"Underperforming","Healthy")</f>
        <v>Healthy</v>
      </c>
      <c r="AB8" s="3">
        <f>PortfolioData[[#This Row],[Debt_Outstanding]]/PortfolioData[[#This Row],[Current_Value]]</f>
        <v>1.6805701299650828</v>
      </c>
      <c r="AC8">
        <f>PortfolioData[[#This Row],[Units]]*PortfolioData[[#This Row],[Avg_Rent_per_Unit]]*12</f>
        <v>1579776</v>
      </c>
      <c r="AD8" s="13">
        <f>PortfolioData[[#This Row],[Potential_Revenue]]-PortfolioData[[#This Row],[Gross_Rental_Income]]</f>
        <v>287232</v>
      </c>
      <c r="AE8" s="3">
        <f>IFERROR(PortfolioData[[#This Row],[Vacancy_Loss]]/PortfolioData[[#This Row],[Potential_Revenue]],0)</f>
        <v>0.18181818181818182</v>
      </c>
      <c r="AF8" s="17">
        <f xml:space="preserve"> (PortfolioData[[#This Row],[Vacancy_%]] * 0.4) + (PortfolioData[[#This Row],[Debt_Ratio]] * 0.3) + (PortfolioData[[#This Row],[Interest_Rate]]/100 * 0.3)</f>
        <v>0.59762831171679764</v>
      </c>
    </row>
    <row r="9" spans="1:34" x14ac:dyDescent="0.3">
      <c r="A9" t="s">
        <v>166</v>
      </c>
      <c r="B9" t="s">
        <v>22</v>
      </c>
      <c r="C9" t="s">
        <v>23</v>
      </c>
      <c r="D9">
        <v>2016</v>
      </c>
      <c r="E9">
        <v>5969384</v>
      </c>
      <c r="F9">
        <v>8314584.7199999997</v>
      </c>
      <c r="G9">
        <v>10</v>
      </c>
      <c r="H9">
        <v>7</v>
      </c>
      <c r="I9">
        <v>3228</v>
      </c>
      <c r="J9">
        <v>775923</v>
      </c>
      <c r="K9">
        <v>106926</v>
      </c>
      <c r="L9">
        <v>12471358</v>
      </c>
      <c r="M9">
        <v>6.64</v>
      </c>
      <c r="N9" t="s">
        <v>17</v>
      </c>
      <c r="O9" s="5">
        <f>PortfolioData[[#This Row],[Occupied_Units]]*PortfolioData[[#This Row],[Avg_Rent_per_Unit]]*12</f>
        <v>271152</v>
      </c>
      <c r="P9" s="3">
        <f>1-(PortfolioData[[#This Row],[Occupied_Units]]/PortfolioData[[#This Row],[Units]])</f>
        <v>0.30000000000000004</v>
      </c>
      <c r="Q9" s="5">
        <f>PortfolioData[[#This Row],[Gross_Rental_Income]] - PortfolioData[[#This Row],[Operating_Cost]] - PortfolioData[[#This Row],[Maintenance_Cost]]</f>
        <v>-611697</v>
      </c>
      <c r="R9" s="5">
        <f>PortfolioData[[#This Row],[Adjusted_Debt_Outstanding]]*(PortfolioData[[#This Row],[Interest_Rate]]/100)</f>
        <v>441670.74032640003</v>
      </c>
      <c r="S9" s="5">
        <f>MIN(PortfolioData[[#This Row],[Debt_Outstanding]], PortfolioData[[#This Row],[Current_Value]]*0.8)</f>
        <v>6651667.7760000005</v>
      </c>
      <c r="T9" s="5">
        <f>PortfolioData[[#This Row],[Net Operating Income (NOI)]]/PortfolioData[[#This Row],[Annual_Debt_Service]]</f>
        <v>-1.3849615655951049</v>
      </c>
      <c r="U9" s="5">
        <f>PortfolioData[[#This Row],[Net Operating Income (NOI)]]-PortfolioData[[#This Row],[Annual_Debt_Service]]</f>
        <v>-1053367.7403263999</v>
      </c>
      <c r="V9" s="5">
        <f>PortfolioData[[#This Row],[Net Operating Income (NOI)]]</f>
        <v>-611697</v>
      </c>
      <c r="W9" s="3">
        <f>PortfolioData[[#This Row],[Gross_Rental_Income]] / PortfolioData[[#This Row],[Purchase_Price]]</f>
        <v>4.5423782420430651E-2</v>
      </c>
      <c r="X9" s="3">
        <f>PortfolioData[[#This Row],[Net Operating Income (NOI)]]/PortfolioData[[#This Row],[Current_Value]]</f>
        <v>-7.3569158364411982E-2</v>
      </c>
      <c r="Y9" s="3">
        <f>(PortfolioData[[#This Row],[Current_Value]]-PortfolioData[[#This Row],[Purchase_Price]]+PortfolioData[[#This Row],[Net Operating Income (NOI)]]) / PortfolioData[[#This Row],[Purchase_Price]]</f>
        <v>0.29039909645618373</v>
      </c>
      <c r="Z9" s="5">
        <f>_xlfn.PERCENTRANK.INC(PortfolioData[ROI],PortfolioData[[#This Row],[ROI]])</f>
        <v>0.66400000000000003</v>
      </c>
      <c r="AA9" s="3" t="str">
        <f>IF(PortfolioData[[#This Row],[ROI_Percentile]]&lt;=0.1,"Underperforming","Healthy")</f>
        <v>Healthy</v>
      </c>
      <c r="AB9" s="3">
        <f>PortfolioData[[#This Row],[Debt_Outstanding]]/PortfolioData[[#This Row],[Current_Value]]</f>
        <v>1.4999375699427595</v>
      </c>
      <c r="AC9">
        <f>PortfolioData[[#This Row],[Units]]*PortfolioData[[#This Row],[Avg_Rent_per_Unit]]*12</f>
        <v>387360</v>
      </c>
      <c r="AD9" s="13">
        <f>PortfolioData[[#This Row],[Potential_Revenue]]-PortfolioData[[#This Row],[Gross_Rental_Income]]</f>
        <v>116208</v>
      </c>
      <c r="AE9" s="3">
        <f>IFERROR(PortfolioData[[#This Row],[Vacancy_Loss]]/PortfolioData[[#This Row],[Potential_Revenue]],0)</f>
        <v>0.3</v>
      </c>
      <c r="AF9" s="17">
        <f xml:space="preserve"> (PortfolioData[[#This Row],[Vacancy_%]] * 0.4) + (PortfolioData[[#This Row],[Debt_Ratio]] * 0.3) + (PortfolioData[[#This Row],[Interest_Rate]]/100 * 0.3)</f>
        <v>0.58990127098282785</v>
      </c>
    </row>
    <row r="10" spans="1:34" x14ac:dyDescent="0.3">
      <c r="A10" t="s">
        <v>85</v>
      </c>
      <c r="B10" t="s">
        <v>22</v>
      </c>
      <c r="C10" t="s">
        <v>30</v>
      </c>
      <c r="D10">
        <v>2019</v>
      </c>
      <c r="E10">
        <v>7493243</v>
      </c>
      <c r="F10">
        <v>7321306.3099999996</v>
      </c>
      <c r="G10">
        <v>41</v>
      </c>
      <c r="H10">
        <v>40</v>
      </c>
      <c r="I10">
        <v>2629</v>
      </c>
      <c r="J10">
        <v>603713</v>
      </c>
      <c r="K10">
        <v>477947</v>
      </c>
      <c r="L10">
        <v>13691119</v>
      </c>
      <c r="M10">
        <v>4.0999999999999996</v>
      </c>
      <c r="N10" t="s">
        <v>17</v>
      </c>
      <c r="O10" s="5">
        <f>PortfolioData[[#This Row],[Occupied_Units]]*PortfolioData[[#This Row],[Avg_Rent_per_Unit]]*12</f>
        <v>1261920</v>
      </c>
      <c r="P10" s="3">
        <f>1-(PortfolioData[[#This Row],[Occupied_Units]]/PortfolioData[[#This Row],[Units]])</f>
        <v>2.4390243902439046E-2</v>
      </c>
      <c r="Q10" s="5">
        <f>PortfolioData[[#This Row],[Gross_Rental_Income]] - PortfolioData[[#This Row],[Operating_Cost]] - PortfolioData[[#This Row],[Maintenance_Cost]]</f>
        <v>180260</v>
      </c>
      <c r="R10" s="5">
        <f>PortfolioData[[#This Row],[Adjusted_Debt_Outstanding]]*(PortfolioData[[#This Row],[Interest_Rate]]/100)</f>
        <v>240138.846968</v>
      </c>
      <c r="S10" s="5">
        <f>MIN(PortfolioData[[#This Row],[Debt_Outstanding]], PortfolioData[[#This Row],[Current_Value]]*0.8)</f>
        <v>5857045.0480000004</v>
      </c>
      <c r="T10" s="5">
        <f>PortfolioData[[#This Row],[Net Operating Income (NOI)]]/PortfolioData[[#This Row],[Annual_Debt_Service]]</f>
        <v>0.75064906105766704</v>
      </c>
      <c r="U10" s="5">
        <f>PortfolioData[[#This Row],[Net Operating Income (NOI)]]-PortfolioData[[#This Row],[Annual_Debt_Service]]</f>
        <v>-59878.846967999998</v>
      </c>
      <c r="V10" s="5">
        <f>PortfolioData[[#This Row],[Net Operating Income (NOI)]]</f>
        <v>180260</v>
      </c>
      <c r="W10" s="3">
        <f>PortfolioData[[#This Row],[Gross_Rental_Income]] / PortfolioData[[#This Row],[Purchase_Price]]</f>
        <v>0.16840772413226157</v>
      </c>
      <c r="X10" s="3">
        <f>PortfolioData[[#This Row],[Net Operating Income (NOI)]]/PortfolioData[[#This Row],[Current_Value]]</f>
        <v>2.4621289202691483E-2</v>
      </c>
      <c r="Y10" s="3">
        <f>(PortfolioData[[#This Row],[Current_Value]]-PortfolioData[[#This Row],[Purchase_Price]]+PortfolioData[[#This Row],[Net Operating Income (NOI)]]) / PortfolioData[[#This Row],[Purchase_Price]]</f>
        <v>1.1107754012514462E-3</v>
      </c>
      <c r="Z10" s="5">
        <f>_xlfn.PERCENTRANK.INC(PortfolioData[ROI],PortfolioData[[#This Row],[ROI]])</f>
        <v>0.154</v>
      </c>
      <c r="AA10" s="3" t="str">
        <f>IF(PortfolioData[[#This Row],[ROI_Percentile]]&lt;=0.1,"Underperforming","Healthy")</f>
        <v>Healthy</v>
      </c>
      <c r="AB10" s="3">
        <f>PortfolioData[[#This Row],[Debt_Outstanding]]/PortfolioData[[#This Row],[Current_Value]]</f>
        <v>1.8700377255490079</v>
      </c>
      <c r="AC10">
        <f>PortfolioData[[#This Row],[Units]]*PortfolioData[[#This Row],[Avg_Rent_per_Unit]]*12</f>
        <v>1293468</v>
      </c>
      <c r="AD10" s="13">
        <f>PortfolioData[[#This Row],[Potential_Revenue]]-PortfolioData[[#This Row],[Gross_Rental_Income]]</f>
        <v>31548</v>
      </c>
      <c r="AE10" s="3">
        <f>IFERROR(PortfolioData[[#This Row],[Vacancy_Loss]]/PortfolioData[[#This Row],[Potential_Revenue]],0)</f>
        <v>2.4390243902439025E-2</v>
      </c>
      <c r="AF10" s="17">
        <f xml:space="preserve"> (PortfolioData[[#This Row],[Vacancy_%]] * 0.4) + (PortfolioData[[#This Row],[Debt_Ratio]] * 0.3) + (PortfolioData[[#This Row],[Interest_Rate]]/100 * 0.3)</f>
        <v>0.58306741522567795</v>
      </c>
    </row>
    <row r="11" spans="1:34" x14ac:dyDescent="0.3">
      <c r="A11" t="s">
        <v>33</v>
      </c>
      <c r="B11" t="s">
        <v>27</v>
      </c>
      <c r="C11" t="s">
        <v>16</v>
      </c>
      <c r="D11">
        <v>2016</v>
      </c>
      <c r="E11">
        <v>6472531</v>
      </c>
      <c r="F11">
        <v>8046324.8200000003</v>
      </c>
      <c r="G11">
        <v>31</v>
      </c>
      <c r="H11">
        <v>22</v>
      </c>
      <c r="I11">
        <v>5558</v>
      </c>
      <c r="J11">
        <v>563244</v>
      </c>
      <c r="K11">
        <v>434211</v>
      </c>
      <c r="L11">
        <v>12224206</v>
      </c>
      <c r="M11">
        <v>3.54</v>
      </c>
      <c r="N11" t="s">
        <v>17</v>
      </c>
      <c r="O11" s="5">
        <f>PortfolioData[[#This Row],[Occupied_Units]]*PortfolioData[[#This Row],[Avg_Rent_per_Unit]]*12</f>
        <v>1467312</v>
      </c>
      <c r="P11" s="3">
        <f>1-(PortfolioData[[#This Row],[Occupied_Units]]/PortfolioData[[#This Row],[Units]])</f>
        <v>0.29032258064516125</v>
      </c>
      <c r="Q11" s="5">
        <f>PortfolioData[[#This Row],[Gross_Rental_Income]] - PortfolioData[[#This Row],[Operating_Cost]] - PortfolioData[[#This Row],[Maintenance_Cost]]</f>
        <v>469857</v>
      </c>
      <c r="R11" s="5">
        <f>PortfolioData[[#This Row],[Adjusted_Debt_Outstanding]]*(PortfolioData[[#This Row],[Interest_Rate]]/100)</f>
        <v>227871.91890240004</v>
      </c>
      <c r="S11" s="5">
        <f>MIN(PortfolioData[[#This Row],[Debt_Outstanding]], PortfolioData[[#This Row],[Current_Value]]*0.8)</f>
        <v>6437059.8560000006</v>
      </c>
      <c r="T11" s="5">
        <f>PortfolioData[[#This Row],[Net Operating Income (NOI)]]/PortfolioData[[#This Row],[Annual_Debt_Service]]</f>
        <v>2.0619346265357286</v>
      </c>
      <c r="U11" s="5">
        <f>PortfolioData[[#This Row],[Net Operating Income (NOI)]]-PortfolioData[[#This Row],[Annual_Debt_Service]]</f>
        <v>241985.08109759996</v>
      </c>
      <c r="V11" s="5">
        <f>PortfolioData[[#This Row],[Net Operating Income (NOI)]]</f>
        <v>469857</v>
      </c>
      <c r="W11" s="3">
        <f>PortfolioData[[#This Row],[Gross_Rental_Income]] / PortfolioData[[#This Row],[Purchase_Price]]</f>
        <v>0.22669833485540664</v>
      </c>
      <c r="X11" s="3">
        <f>PortfolioData[[#This Row],[Net Operating Income (NOI)]]/PortfolioData[[#This Row],[Current_Value]]</f>
        <v>5.8393988623491835E-2</v>
      </c>
      <c r="Y11" s="3">
        <f>(PortfolioData[[#This Row],[Current_Value]]-PortfolioData[[#This Row],[Purchase_Price]]+PortfolioData[[#This Row],[Net Operating Income (NOI)]]) / PortfolioData[[#This Row],[Purchase_Price]]</f>
        <v>0.31574214476531676</v>
      </c>
      <c r="Z11" s="5">
        <f>_xlfn.PERCENTRANK.INC(PortfolioData[ROI],PortfolioData[[#This Row],[ROI]])</f>
        <v>0.70399999999999996</v>
      </c>
      <c r="AA11" s="3" t="str">
        <f>IF(PortfolioData[[#This Row],[ROI_Percentile]]&lt;=0.1,"Underperforming","Healthy")</f>
        <v>Healthy</v>
      </c>
      <c r="AB11" s="3">
        <f>PortfolioData[[#This Row],[Debt_Outstanding]]/PortfolioData[[#This Row],[Current_Value]]</f>
        <v>1.5192285016403302</v>
      </c>
      <c r="AC11">
        <f>PortfolioData[[#This Row],[Units]]*PortfolioData[[#This Row],[Avg_Rent_per_Unit]]*12</f>
        <v>2067576</v>
      </c>
      <c r="AD11" s="13">
        <f>PortfolioData[[#This Row],[Potential_Revenue]]-PortfolioData[[#This Row],[Gross_Rental_Income]]</f>
        <v>600264</v>
      </c>
      <c r="AE11" s="3">
        <f>IFERROR(PortfolioData[[#This Row],[Vacancy_Loss]]/PortfolioData[[#This Row],[Potential_Revenue]],0)</f>
        <v>0.29032258064516131</v>
      </c>
      <c r="AF11" s="17">
        <f xml:space="preserve"> (PortfolioData[[#This Row],[Vacancy_%]] * 0.4) + (PortfolioData[[#This Row],[Debt_Ratio]] * 0.3) + (PortfolioData[[#This Row],[Interest_Rate]]/100 * 0.3)</f>
        <v>0.58251758275016352</v>
      </c>
    </row>
    <row r="12" spans="1:34" x14ac:dyDescent="0.3">
      <c r="A12" t="s">
        <v>46</v>
      </c>
      <c r="B12" t="s">
        <v>15</v>
      </c>
      <c r="C12" t="s">
        <v>23</v>
      </c>
      <c r="D12">
        <v>2015</v>
      </c>
      <c r="E12">
        <v>8326702</v>
      </c>
      <c r="F12">
        <v>7881192.6600000001</v>
      </c>
      <c r="G12">
        <v>10</v>
      </c>
      <c r="H12">
        <v>10</v>
      </c>
      <c r="I12">
        <v>5296</v>
      </c>
      <c r="J12">
        <v>679261</v>
      </c>
      <c r="K12">
        <v>235160</v>
      </c>
      <c r="L12">
        <v>14873961</v>
      </c>
      <c r="M12">
        <v>4.3899999999999997</v>
      </c>
      <c r="N12" t="s">
        <v>17</v>
      </c>
      <c r="O12" s="5">
        <f>PortfolioData[[#This Row],[Occupied_Units]]*PortfolioData[[#This Row],[Avg_Rent_per_Unit]]*12</f>
        <v>635520</v>
      </c>
      <c r="P12" s="3">
        <f>1-(PortfolioData[[#This Row],[Occupied_Units]]/PortfolioData[[#This Row],[Units]])</f>
        <v>0</v>
      </c>
      <c r="Q12" s="5">
        <f>PortfolioData[[#This Row],[Gross_Rental_Income]] - PortfolioData[[#This Row],[Operating_Cost]] - PortfolioData[[#This Row],[Maintenance_Cost]]</f>
        <v>-278901</v>
      </c>
      <c r="R12" s="5">
        <f>PortfolioData[[#This Row],[Adjusted_Debt_Outstanding]]*(PortfolioData[[#This Row],[Interest_Rate]]/100)</f>
        <v>276787.48621920001</v>
      </c>
      <c r="S12" s="5">
        <f>MIN(PortfolioData[[#This Row],[Debt_Outstanding]], PortfolioData[[#This Row],[Current_Value]]*0.8)</f>
        <v>6304954.1280000005</v>
      </c>
      <c r="T12" s="5">
        <f>PortfolioData[[#This Row],[Net Operating Income (NOI)]]/PortfolioData[[#This Row],[Annual_Debt_Service]]</f>
        <v>-1.0076358718729292</v>
      </c>
      <c r="U12" s="5">
        <f>PortfolioData[[#This Row],[Net Operating Income (NOI)]]-PortfolioData[[#This Row],[Annual_Debt_Service]]</f>
        <v>-555688.48621920007</v>
      </c>
      <c r="V12" s="5">
        <f>PortfolioData[[#This Row],[Net Operating Income (NOI)]]</f>
        <v>-278901</v>
      </c>
      <c r="W12" s="3">
        <f>PortfolioData[[#This Row],[Gross_Rental_Income]] / PortfolioData[[#This Row],[Purchase_Price]]</f>
        <v>7.63231348978263E-2</v>
      </c>
      <c r="X12" s="3">
        <f>PortfolioData[[#This Row],[Net Operating Income (NOI)]]/PortfolioData[[#This Row],[Current_Value]]</f>
        <v>-3.5388171820177276E-2</v>
      </c>
      <c r="Y12" s="3">
        <f>(PortfolioData[[#This Row],[Current_Value]]-PortfolioData[[#This Row],[Purchase_Price]]+PortfolioData[[#This Row],[Net Operating Income (NOI)]]) / PortfolioData[[#This Row],[Purchase_Price]]</f>
        <v>-8.6998470703046643E-2</v>
      </c>
      <c r="Z12" s="5">
        <f>_xlfn.PERCENTRANK.INC(PortfolioData[ROI],PortfolioData[[#This Row],[ROI]])</f>
        <v>2.5999999999999999E-2</v>
      </c>
      <c r="AA12" s="3" t="str">
        <f>IF(PortfolioData[[#This Row],[ROI_Percentile]]&lt;=0.1,"Underperforming","Healthy")</f>
        <v>Underperforming</v>
      </c>
      <c r="AB12" s="3">
        <f>PortfolioData[[#This Row],[Debt_Outstanding]]/PortfolioData[[#This Row],[Current_Value]]</f>
        <v>1.8872728585218979</v>
      </c>
      <c r="AC12">
        <f>PortfolioData[[#This Row],[Units]]*PortfolioData[[#This Row],[Avg_Rent_per_Unit]]*12</f>
        <v>635520</v>
      </c>
      <c r="AD12" s="13">
        <f>PortfolioData[[#This Row],[Potential_Revenue]]-PortfolioData[[#This Row],[Gross_Rental_Income]]</f>
        <v>0</v>
      </c>
      <c r="AE12" s="3">
        <f>IFERROR(PortfolioData[[#This Row],[Vacancy_Loss]]/PortfolioData[[#This Row],[Potential_Revenue]],0)</f>
        <v>0</v>
      </c>
      <c r="AF12" s="17">
        <f xml:space="preserve"> (PortfolioData[[#This Row],[Vacancy_%]] * 0.4) + (PortfolioData[[#This Row],[Debt_Ratio]] * 0.3) + (PortfolioData[[#This Row],[Interest_Rate]]/100 * 0.3)</f>
        <v>0.57935185755656937</v>
      </c>
    </row>
    <row r="13" spans="1:34" x14ac:dyDescent="0.3">
      <c r="A13" t="s">
        <v>147</v>
      </c>
      <c r="B13" t="s">
        <v>27</v>
      </c>
      <c r="C13" t="s">
        <v>23</v>
      </c>
      <c r="D13">
        <v>2011</v>
      </c>
      <c r="E13">
        <v>5814811</v>
      </c>
      <c r="F13">
        <v>7386393.0499999998</v>
      </c>
      <c r="G13">
        <v>51</v>
      </c>
      <c r="H13">
        <v>40</v>
      </c>
      <c r="I13">
        <v>2447</v>
      </c>
      <c r="J13">
        <v>212595</v>
      </c>
      <c r="K13">
        <v>208207</v>
      </c>
      <c r="L13">
        <v>10846421</v>
      </c>
      <c r="M13">
        <v>5.84</v>
      </c>
      <c r="N13" t="s">
        <v>17</v>
      </c>
      <c r="O13" s="5">
        <f>PortfolioData[[#This Row],[Occupied_Units]]*PortfolioData[[#This Row],[Avg_Rent_per_Unit]]*12</f>
        <v>1174560</v>
      </c>
      <c r="P13" s="3">
        <f>1-(PortfolioData[[#This Row],[Occupied_Units]]/PortfolioData[[#This Row],[Units]])</f>
        <v>0.21568627450980393</v>
      </c>
      <c r="Q13" s="5">
        <f>PortfolioData[[#This Row],[Gross_Rental_Income]] - PortfolioData[[#This Row],[Operating_Cost]] - PortfolioData[[#This Row],[Maintenance_Cost]]</f>
        <v>753758</v>
      </c>
      <c r="R13" s="5">
        <f>PortfolioData[[#This Row],[Adjusted_Debt_Outstanding]]*(PortfolioData[[#This Row],[Interest_Rate]]/100)</f>
        <v>345092.28329600004</v>
      </c>
      <c r="S13" s="5">
        <f>MIN(PortfolioData[[#This Row],[Debt_Outstanding]], PortfolioData[[#This Row],[Current_Value]]*0.8)</f>
        <v>5909114.4400000004</v>
      </c>
      <c r="T13" s="5">
        <f>PortfolioData[[#This Row],[Net Operating Income (NOI)]]/PortfolioData[[#This Row],[Annual_Debt_Service]]</f>
        <v>2.1842215444541551</v>
      </c>
      <c r="U13" s="5">
        <f>PortfolioData[[#This Row],[Net Operating Income (NOI)]]-PortfolioData[[#This Row],[Annual_Debt_Service]]</f>
        <v>408665.71670399996</v>
      </c>
      <c r="V13" s="5">
        <f>PortfolioData[[#This Row],[Net Operating Income (NOI)]]</f>
        <v>753758</v>
      </c>
      <c r="W13" s="3">
        <f>PortfolioData[[#This Row],[Gross_Rental_Income]] / PortfolioData[[#This Row],[Purchase_Price]]</f>
        <v>0.20199452742316129</v>
      </c>
      <c r="X13" s="3">
        <f>PortfolioData[[#This Row],[Net Operating Income (NOI)]]/PortfolioData[[#This Row],[Current_Value]]</f>
        <v>0.10204683055689813</v>
      </c>
      <c r="Y13" s="3">
        <f>(PortfolioData[[#This Row],[Current_Value]]-PortfolioData[[#This Row],[Purchase_Price]]+PortfolioData[[#This Row],[Net Operating Income (NOI)]]) / PortfolioData[[#This Row],[Purchase_Price]]</f>
        <v>0.39989950662196927</v>
      </c>
      <c r="Z13" s="5">
        <f>_xlfn.PERCENTRANK.INC(PortfolioData[ROI],PortfolioData[[#This Row],[ROI]])</f>
        <v>0.85899999999999999</v>
      </c>
      <c r="AA13" s="3" t="str">
        <f>IF(PortfolioData[[#This Row],[ROI_Percentile]]&lt;=0.1,"Underperforming","Healthy")</f>
        <v>Healthy</v>
      </c>
      <c r="AB13" s="3">
        <f>PortfolioData[[#This Row],[Debt_Outstanding]]/PortfolioData[[#This Row],[Current_Value]]</f>
        <v>1.4684326878597396</v>
      </c>
      <c r="AC13">
        <f>PortfolioData[[#This Row],[Units]]*PortfolioData[[#This Row],[Avg_Rent_per_Unit]]*12</f>
        <v>1497564</v>
      </c>
      <c r="AD13" s="13">
        <f>PortfolioData[[#This Row],[Potential_Revenue]]-PortfolioData[[#This Row],[Gross_Rental_Income]]</f>
        <v>323004</v>
      </c>
      <c r="AE13" s="3">
        <f>IFERROR(PortfolioData[[#This Row],[Vacancy_Loss]]/PortfolioData[[#This Row],[Potential_Revenue]],0)</f>
        <v>0.21568627450980393</v>
      </c>
      <c r="AF13" s="17">
        <f xml:space="preserve"> (PortfolioData[[#This Row],[Vacancy_%]] * 0.4) + (PortfolioData[[#This Row],[Debt_Ratio]] * 0.3) + (PortfolioData[[#This Row],[Interest_Rate]]/100 * 0.3)</f>
        <v>0.5443243161618434</v>
      </c>
    </row>
    <row r="14" spans="1:34" x14ac:dyDescent="0.3">
      <c r="A14" t="s">
        <v>49</v>
      </c>
      <c r="B14" t="s">
        <v>35</v>
      </c>
      <c r="C14" t="s">
        <v>23</v>
      </c>
      <c r="D14">
        <v>2014</v>
      </c>
      <c r="E14">
        <v>5073915</v>
      </c>
      <c r="F14">
        <v>4688062.3099999996</v>
      </c>
      <c r="G14">
        <v>42</v>
      </c>
      <c r="H14">
        <v>34</v>
      </c>
      <c r="I14">
        <v>1708</v>
      </c>
      <c r="J14">
        <v>781549</v>
      </c>
      <c r="K14">
        <v>149380</v>
      </c>
      <c r="L14">
        <v>6612437</v>
      </c>
      <c r="M14">
        <v>6.12</v>
      </c>
      <c r="N14" t="s">
        <v>17</v>
      </c>
      <c r="O14" s="5">
        <f>PortfolioData[[#This Row],[Occupied_Units]]*PortfolioData[[#This Row],[Avg_Rent_per_Unit]]*12</f>
        <v>696864</v>
      </c>
      <c r="P14" s="3">
        <f>1-(PortfolioData[[#This Row],[Occupied_Units]]/PortfolioData[[#This Row],[Units]])</f>
        <v>0.19047619047619047</v>
      </c>
      <c r="Q14" s="5">
        <f>PortfolioData[[#This Row],[Gross_Rental_Income]] - PortfolioData[[#This Row],[Operating_Cost]] - PortfolioData[[#This Row],[Maintenance_Cost]]</f>
        <v>-234065</v>
      </c>
      <c r="R14" s="5">
        <f>PortfolioData[[#This Row],[Adjusted_Debt_Outstanding]]*(PortfolioData[[#This Row],[Interest_Rate]]/100)</f>
        <v>229527.53069760001</v>
      </c>
      <c r="S14" s="5">
        <f>MIN(PortfolioData[[#This Row],[Debt_Outstanding]], PortfolioData[[#This Row],[Current_Value]]*0.8)</f>
        <v>3750449.8479999998</v>
      </c>
      <c r="T14" s="5">
        <f>PortfolioData[[#This Row],[Net Operating Income (NOI)]]/PortfolioData[[#This Row],[Annual_Debt_Service]]</f>
        <v>-1.0197687366243575</v>
      </c>
      <c r="U14" s="5">
        <f>PortfolioData[[#This Row],[Net Operating Income (NOI)]]-PortfolioData[[#This Row],[Annual_Debt_Service]]</f>
        <v>-463592.53069759998</v>
      </c>
      <c r="V14" s="5">
        <f>PortfolioData[[#This Row],[Net Operating Income (NOI)]]</f>
        <v>-234065</v>
      </c>
      <c r="W14" s="3">
        <f>PortfolioData[[#This Row],[Gross_Rental_Income]] / PortfolioData[[#This Row],[Purchase_Price]]</f>
        <v>0.13734246632038574</v>
      </c>
      <c r="X14" s="3">
        <f>PortfolioData[[#This Row],[Net Operating Income (NOI)]]/PortfolioData[[#This Row],[Current_Value]]</f>
        <v>-4.9927877345128553E-2</v>
      </c>
      <c r="Y14" s="3">
        <f>(PortfolioData[[#This Row],[Current_Value]]-PortfolioData[[#This Row],[Purchase_Price]]+PortfolioData[[#This Row],[Net Operating Income (NOI)]]) / PortfolioData[[#This Row],[Purchase_Price]]</f>
        <v>-0.12217738964882155</v>
      </c>
      <c r="Z14" s="5">
        <f>_xlfn.PERCENTRANK.INC(PortfolioData[ROI],PortfolioData[[#This Row],[ROI]])</f>
        <v>0</v>
      </c>
      <c r="AA14" s="3" t="str">
        <f>IF(PortfolioData[[#This Row],[ROI_Percentile]]&lt;=0.1,"Underperforming","Healthy")</f>
        <v>Underperforming</v>
      </c>
      <c r="AB14" s="3">
        <f>PortfolioData[[#This Row],[Debt_Outstanding]]/PortfolioData[[#This Row],[Current_Value]]</f>
        <v>1.4104840257551954</v>
      </c>
      <c r="AC14">
        <f>PortfolioData[[#This Row],[Units]]*PortfolioData[[#This Row],[Avg_Rent_per_Unit]]*12</f>
        <v>860832</v>
      </c>
      <c r="AD14" s="13">
        <f>PortfolioData[[#This Row],[Potential_Revenue]]-PortfolioData[[#This Row],[Gross_Rental_Income]]</f>
        <v>163968</v>
      </c>
      <c r="AE14" s="3">
        <f>IFERROR(PortfolioData[[#This Row],[Vacancy_Loss]]/PortfolioData[[#This Row],[Potential_Revenue]],0)</f>
        <v>0.19047619047619047</v>
      </c>
      <c r="AF14" s="17">
        <f xml:space="preserve"> (PortfolioData[[#This Row],[Vacancy_%]] * 0.4) + (PortfolioData[[#This Row],[Debt_Ratio]] * 0.3) + (PortfolioData[[#This Row],[Interest_Rate]]/100 * 0.3)</f>
        <v>0.5176956839170348</v>
      </c>
    </row>
    <row r="15" spans="1:34" x14ac:dyDescent="0.3">
      <c r="A15" t="s">
        <v>103</v>
      </c>
      <c r="B15" t="s">
        <v>19</v>
      </c>
      <c r="C15" t="s">
        <v>16</v>
      </c>
      <c r="D15">
        <v>2016</v>
      </c>
      <c r="E15">
        <v>7711163</v>
      </c>
      <c r="F15">
        <v>8943714.9800000004</v>
      </c>
      <c r="G15">
        <v>20</v>
      </c>
      <c r="H15">
        <v>14</v>
      </c>
      <c r="I15">
        <v>4519</v>
      </c>
      <c r="J15">
        <v>448101</v>
      </c>
      <c r="K15">
        <v>407818</v>
      </c>
      <c r="L15">
        <v>11004789</v>
      </c>
      <c r="M15">
        <v>6.54</v>
      </c>
      <c r="N15" t="s">
        <v>17</v>
      </c>
      <c r="O15" s="5">
        <f>PortfolioData[[#This Row],[Occupied_Units]]*PortfolioData[[#This Row],[Avg_Rent_per_Unit]]*12</f>
        <v>759192</v>
      </c>
      <c r="P15" s="3">
        <f>1-(PortfolioData[[#This Row],[Occupied_Units]]/PortfolioData[[#This Row],[Units]])</f>
        <v>0.30000000000000004</v>
      </c>
      <c r="Q15" s="5">
        <f>PortfolioData[[#This Row],[Gross_Rental_Income]] - PortfolioData[[#This Row],[Operating_Cost]] - PortfolioData[[#This Row],[Maintenance_Cost]]</f>
        <v>-96727</v>
      </c>
      <c r="R15" s="5">
        <f>PortfolioData[[#This Row],[Adjusted_Debt_Outstanding]]*(PortfolioData[[#This Row],[Interest_Rate]]/100)</f>
        <v>467935.16775360005</v>
      </c>
      <c r="S15" s="5">
        <f>MIN(PortfolioData[[#This Row],[Debt_Outstanding]], PortfolioData[[#This Row],[Current_Value]]*0.8)</f>
        <v>7154971.9840000011</v>
      </c>
      <c r="T15" s="5">
        <f>PortfolioData[[#This Row],[Net Operating Income (NOI)]]/PortfolioData[[#This Row],[Annual_Debt_Service]]</f>
        <v>-0.20671025959505013</v>
      </c>
      <c r="U15" s="5">
        <f>PortfolioData[[#This Row],[Net Operating Income (NOI)]]-PortfolioData[[#This Row],[Annual_Debt_Service]]</f>
        <v>-564662.16775360005</v>
      </c>
      <c r="V15" s="5">
        <f>PortfolioData[[#This Row],[Net Operating Income (NOI)]]</f>
        <v>-96727</v>
      </c>
      <c r="W15" s="3">
        <f>PortfolioData[[#This Row],[Gross_Rental_Income]] / PortfolioData[[#This Row],[Purchase_Price]]</f>
        <v>9.8453631443142883E-2</v>
      </c>
      <c r="X15" s="3">
        <f>PortfolioData[[#This Row],[Net Operating Income (NOI)]]/PortfolioData[[#This Row],[Current_Value]]</f>
        <v>-1.0815080782013023E-2</v>
      </c>
      <c r="Y15" s="3">
        <f>(PortfolioData[[#This Row],[Current_Value]]-PortfolioData[[#This Row],[Purchase_Price]]+PortfolioData[[#This Row],[Net Operating Income (NOI)]]) / PortfolioData[[#This Row],[Purchase_Price]]</f>
        <v>0.14729619643625746</v>
      </c>
      <c r="Z15" s="5">
        <f>_xlfn.PERCENTRANK.INC(PortfolioData[ROI],PortfolioData[[#This Row],[ROI]])</f>
        <v>0.375</v>
      </c>
      <c r="AA15" s="3" t="str">
        <f>IF(PortfolioData[[#This Row],[ROI_Percentile]]&lt;=0.1,"Underperforming","Healthy")</f>
        <v>Healthy</v>
      </c>
      <c r="AB15" s="3">
        <f>PortfolioData[[#This Row],[Debt_Outstanding]]/PortfolioData[[#This Row],[Current_Value]]</f>
        <v>1.2304494300868249</v>
      </c>
      <c r="AC15">
        <f>PortfolioData[[#This Row],[Units]]*PortfolioData[[#This Row],[Avg_Rent_per_Unit]]*12</f>
        <v>1084560</v>
      </c>
      <c r="AD15" s="13">
        <f>PortfolioData[[#This Row],[Potential_Revenue]]-PortfolioData[[#This Row],[Gross_Rental_Income]]</f>
        <v>325368</v>
      </c>
      <c r="AE15" s="3">
        <f>IFERROR(PortfolioData[[#This Row],[Vacancy_Loss]]/PortfolioData[[#This Row],[Potential_Revenue]],0)</f>
        <v>0.3</v>
      </c>
      <c r="AF15" s="17">
        <f xml:space="preserve"> (PortfolioData[[#This Row],[Vacancy_%]] * 0.4) + (PortfolioData[[#This Row],[Debt_Ratio]] * 0.3) + (PortfolioData[[#This Row],[Interest_Rate]]/100 * 0.3)</f>
        <v>0.50875482902604752</v>
      </c>
      <c r="AH15" s="17">
        <f>AVERAGE(AF3:AF151)</f>
        <v>0.26201602059941836</v>
      </c>
    </row>
    <row r="16" spans="1:34" x14ac:dyDescent="0.3">
      <c r="A16" t="s">
        <v>153</v>
      </c>
      <c r="B16" t="s">
        <v>27</v>
      </c>
      <c r="C16" t="s">
        <v>20</v>
      </c>
      <c r="D16">
        <v>2016</v>
      </c>
      <c r="E16">
        <v>9069514</v>
      </c>
      <c r="F16">
        <v>11499495.85</v>
      </c>
      <c r="G16">
        <v>14</v>
      </c>
      <c r="H16">
        <v>9</v>
      </c>
      <c r="I16">
        <v>5516</v>
      </c>
      <c r="J16">
        <v>407235</v>
      </c>
      <c r="K16">
        <v>133639</v>
      </c>
      <c r="L16">
        <v>12757058</v>
      </c>
      <c r="M16">
        <v>4.22</v>
      </c>
      <c r="N16" t="s">
        <v>24</v>
      </c>
      <c r="O16" s="5">
        <f>PortfolioData[[#This Row],[Occupied_Units]]*PortfolioData[[#This Row],[Avg_Rent_per_Unit]]*12</f>
        <v>595728</v>
      </c>
      <c r="P16" s="3">
        <f>1-(PortfolioData[[#This Row],[Occupied_Units]]/PortfolioData[[#This Row],[Units]])</f>
        <v>0.3571428571428571</v>
      </c>
      <c r="Q16" s="5">
        <f>PortfolioData[[#This Row],[Gross_Rental_Income]] - PortfolioData[[#This Row],[Operating_Cost]] - PortfolioData[[#This Row],[Maintenance_Cost]]</f>
        <v>54854</v>
      </c>
      <c r="R16" s="5">
        <f>PortfolioData[[#This Row],[Adjusted_Debt_Outstanding]]*(PortfolioData[[#This Row],[Interest_Rate]]/100)</f>
        <v>388222.97989599995</v>
      </c>
      <c r="S16" s="5">
        <f>MIN(PortfolioData[[#This Row],[Debt_Outstanding]], PortfolioData[[#This Row],[Current_Value]]*0.8)</f>
        <v>9199596.6799999997</v>
      </c>
      <c r="T16" s="5">
        <f>PortfolioData[[#This Row],[Net Operating Income (NOI)]]/PortfolioData[[#This Row],[Annual_Debt_Service]]</f>
        <v>0.1412950877217384</v>
      </c>
      <c r="U16" s="5">
        <f>PortfolioData[[#This Row],[Net Operating Income (NOI)]]-PortfolioData[[#This Row],[Annual_Debt_Service]]</f>
        <v>-333368.97989599995</v>
      </c>
      <c r="V16" s="5">
        <f>PortfolioData[[#This Row],[Net Operating Income (NOI)]]</f>
        <v>54854</v>
      </c>
      <c r="W16" s="3">
        <f>PortfolioData[[#This Row],[Gross_Rental_Income]] / PortfolioData[[#This Row],[Purchase_Price]]</f>
        <v>6.568466623459647E-2</v>
      </c>
      <c r="X16" s="3">
        <f>PortfolioData[[#This Row],[Net Operating Income (NOI)]]/PortfolioData[[#This Row],[Current_Value]]</f>
        <v>4.7701221614858879E-3</v>
      </c>
      <c r="Y16" s="3">
        <f>(PortfolioData[[#This Row],[Current_Value]]-PortfolioData[[#This Row],[Purchase_Price]]+PortfolioData[[#This Row],[Net Operating Income (NOI)]]) / PortfolioData[[#This Row],[Purchase_Price]]</f>
        <v>0.27397673679096801</v>
      </c>
      <c r="Z16" s="5">
        <f>_xlfn.PERCENTRANK.INC(PortfolioData[ROI],PortfolioData[[#This Row],[ROI]])</f>
        <v>0.61</v>
      </c>
      <c r="AA16" s="3" t="str">
        <f>IF(PortfolioData[[#This Row],[ROI_Percentile]]&lt;=0.1,"Underperforming","Healthy")</f>
        <v>Healthy</v>
      </c>
      <c r="AB16" s="3">
        <f>PortfolioData[[#This Row],[Debt_Outstanding]]/PortfolioData[[#This Row],[Current_Value]]</f>
        <v>1.109358024595487</v>
      </c>
      <c r="AC16">
        <f>PortfolioData[[#This Row],[Units]]*PortfolioData[[#This Row],[Avg_Rent_per_Unit]]*12</f>
        <v>926688</v>
      </c>
      <c r="AD16" s="13">
        <f>PortfolioData[[#This Row],[Potential_Revenue]]-PortfolioData[[#This Row],[Gross_Rental_Income]]</f>
        <v>330960</v>
      </c>
      <c r="AE16" s="3">
        <f>IFERROR(PortfolioData[[#This Row],[Vacancy_Loss]]/PortfolioData[[#This Row],[Potential_Revenue]],0)</f>
        <v>0.35714285714285715</v>
      </c>
      <c r="AF16" s="17">
        <f xml:space="preserve"> (PortfolioData[[#This Row],[Vacancy_%]] * 0.4) + (PortfolioData[[#This Row],[Debt_Ratio]] * 0.3) + (PortfolioData[[#This Row],[Interest_Rate]]/100 * 0.3)</f>
        <v>0.48832455023578897</v>
      </c>
    </row>
    <row r="17" spans="1:32" x14ac:dyDescent="0.3">
      <c r="A17" t="s">
        <v>173</v>
      </c>
      <c r="B17" t="s">
        <v>15</v>
      </c>
      <c r="C17" t="s">
        <v>23</v>
      </c>
      <c r="D17">
        <v>2018</v>
      </c>
      <c r="E17">
        <v>6398924</v>
      </c>
      <c r="F17">
        <v>8941674.2100000009</v>
      </c>
      <c r="G17">
        <v>49</v>
      </c>
      <c r="H17">
        <v>34</v>
      </c>
      <c r="I17">
        <v>4433</v>
      </c>
      <c r="J17">
        <v>488273</v>
      </c>
      <c r="K17">
        <v>259540</v>
      </c>
      <c r="L17">
        <v>9832692</v>
      </c>
      <c r="M17">
        <v>3.89</v>
      </c>
      <c r="N17" t="s">
        <v>17</v>
      </c>
      <c r="O17" s="5">
        <f>PortfolioData[[#This Row],[Occupied_Units]]*PortfolioData[[#This Row],[Avg_Rent_per_Unit]]*12</f>
        <v>1808664</v>
      </c>
      <c r="P17" s="3">
        <f>1-(PortfolioData[[#This Row],[Occupied_Units]]/PortfolioData[[#This Row],[Units]])</f>
        <v>0.30612244897959184</v>
      </c>
      <c r="Q17" s="5">
        <f>PortfolioData[[#This Row],[Gross_Rental_Income]] - PortfolioData[[#This Row],[Operating_Cost]] - PortfolioData[[#This Row],[Maintenance_Cost]]</f>
        <v>1060851</v>
      </c>
      <c r="R17" s="5">
        <f>PortfolioData[[#This Row],[Adjusted_Debt_Outstanding]]*(PortfolioData[[#This Row],[Interest_Rate]]/100)</f>
        <v>278264.90141520003</v>
      </c>
      <c r="S17" s="5">
        <f>MIN(PortfolioData[[#This Row],[Debt_Outstanding]], PortfolioData[[#This Row],[Current_Value]]*0.8)</f>
        <v>7153339.3680000007</v>
      </c>
      <c r="T17" s="5">
        <f>PortfolioData[[#This Row],[Net Operating Income (NOI)]]/PortfolioData[[#This Row],[Annual_Debt_Service]]</f>
        <v>3.8123780419475199</v>
      </c>
      <c r="U17" s="5">
        <f>PortfolioData[[#This Row],[Net Operating Income (NOI)]]-PortfolioData[[#This Row],[Annual_Debt_Service]]</f>
        <v>782586.09858480003</v>
      </c>
      <c r="V17" s="5">
        <f>PortfolioData[[#This Row],[Net Operating Income (NOI)]]</f>
        <v>1060851</v>
      </c>
      <c r="W17" s="3">
        <f>PortfolioData[[#This Row],[Gross_Rental_Income]] / PortfolioData[[#This Row],[Purchase_Price]]</f>
        <v>0.28265127074489399</v>
      </c>
      <c r="X17" s="3">
        <f>PortfolioData[[#This Row],[Net Operating Income (NOI)]]/PortfolioData[[#This Row],[Current_Value]]</f>
        <v>0.11864120466540683</v>
      </c>
      <c r="Y17" s="3">
        <f>(PortfolioData[[#This Row],[Current_Value]]-PortfolioData[[#This Row],[Purchase_Price]]+PortfolioData[[#This Row],[Net Operating Income (NOI)]]) / PortfolioData[[#This Row],[Purchase_Price]]</f>
        <v>0.56315736989531384</v>
      </c>
      <c r="Z17" s="5">
        <f>_xlfn.PERCENTRANK.INC(PortfolioData[ROI],PortfolioData[[#This Row],[ROI]])</f>
        <v>0.97899999999999998</v>
      </c>
      <c r="AA17" s="3" t="str">
        <f>IF(PortfolioData[[#This Row],[ROI_Percentile]]&lt;=0.1,"Underperforming","Healthy")</f>
        <v>Healthy</v>
      </c>
      <c r="AB17" s="3">
        <f>PortfolioData[[#This Row],[Debt_Outstanding]]/PortfolioData[[#This Row],[Current_Value]]</f>
        <v>1.0996477582468305</v>
      </c>
      <c r="AC17">
        <f>PortfolioData[[#This Row],[Units]]*PortfolioData[[#This Row],[Avg_Rent_per_Unit]]*12</f>
        <v>2606604</v>
      </c>
      <c r="AD17" s="13">
        <f>PortfolioData[[#This Row],[Potential_Revenue]]-PortfolioData[[#This Row],[Gross_Rental_Income]]</f>
        <v>797940</v>
      </c>
      <c r="AE17" s="3">
        <f>IFERROR(PortfolioData[[#This Row],[Vacancy_Loss]]/PortfolioData[[#This Row],[Potential_Revenue]],0)</f>
        <v>0.30612244897959184</v>
      </c>
      <c r="AF17" s="17">
        <f xml:space="preserve"> (PortfolioData[[#This Row],[Vacancy_%]] * 0.4) + (PortfolioData[[#This Row],[Debt_Ratio]] * 0.3) + (PortfolioData[[#This Row],[Interest_Rate]]/100 * 0.3)</f>
        <v>0.46401330706588589</v>
      </c>
    </row>
    <row r="18" spans="1:32" x14ac:dyDescent="0.3">
      <c r="A18" t="s">
        <v>67</v>
      </c>
      <c r="B18" t="s">
        <v>22</v>
      </c>
      <c r="C18" t="s">
        <v>16</v>
      </c>
      <c r="D18">
        <v>2014</v>
      </c>
      <c r="E18">
        <v>10199496</v>
      </c>
      <c r="F18">
        <v>12006384.73</v>
      </c>
      <c r="G18">
        <v>31</v>
      </c>
      <c r="H18">
        <v>21</v>
      </c>
      <c r="I18">
        <v>5842</v>
      </c>
      <c r="J18">
        <v>799466</v>
      </c>
      <c r="K18">
        <v>206290</v>
      </c>
      <c r="L18">
        <v>12755090</v>
      </c>
      <c r="M18">
        <v>5.35</v>
      </c>
      <c r="N18" t="s">
        <v>17</v>
      </c>
      <c r="O18" s="5">
        <f>PortfolioData[[#This Row],[Occupied_Units]]*PortfolioData[[#This Row],[Avg_Rent_per_Unit]]*12</f>
        <v>1472184</v>
      </c>
      <c r="P18" s="3">
        <f>1-(PortfolioData[[#This Row],[Occupied_Units]]/PortfolioData[[#This Row],[Units]])</f>
        <v>0.32258064516129037</v>
      </c>
      <c r="Q18" s="5">
        <f>PortfolioData[[#This Row],[Gross_Rental_Income]] - PortfolioData[[#This Row],[Operating_Cost]] - PortfolioData[[#This Row],[Maintenance_Cost]]</f>
        <v>466428</v>
      </c>
      <c r="R18" s="5">
        <f>PortfolioData[[#This Row],[Adjusted_Debt_Outstanding]]*(PortfolioData[[#This Row],[Interest_Rate]]/100)</f>
        <v>513873.26644400001</v>
      </c>
      <c r="S18" s="5">
        <f>MIN(PortfolioData[[#This Row],[Debt_Outstanding]], PortfolioData[[#This Row],[Current_Value]]*0.8)</f>
        <v>9605107.784</v>
      </c>
      <c r="T18" s="5">
        <f>PortfolioData[[#This Row],[Net Operating Income (NOI)]]/PortfolioData[[#This Row],[Annual_Debt_Service]]</f>
        <v>0.90767126927555319</v>
      </c>
      <c r="U18" s="5">
        <f>PortfolioData[[#This Row],[Net Operating Income (NOI)]]-PortfolioData[[#This Row],[Annual_Debt_Service]]</f>
        <v>-47445.266444000008</v>
      </c>
      <c r="V18" s="5">
        <f>PortfolioData[[#This Row],[Net Operating Income (NOI)]]</f>
        <v>466428</v>
      </c>
      <c r="W18" s="3">
        <f>PortfolioData[[#This Row],[Gross_Rental_Income]] / PortfolioData[[#This Row],[Purchase_Price]]</f>
        <v>0.14433889674548625</v>
      </c>
      <c r="X18" s="3">
        <f>PortfolioData[[#This Row],[Net Operating Income (NOI)]]/PortfolioData[[#This Row],[Current_Value]]</f>
        <v>3.8848330324993671E-2</v>
      </c>
      <c r="Y18" s="3">
        <f>(PortfolioData[[#This Row],[Current_Value]]-PortfolioData[[#This Row],[Purchase_Price]]+PortfolioData[[#This Row],[Net Operating Income (NOI)]]) / PortfolioData[[#This Row],[Purchase_Price]]</f>
        <v>0.2228852023668621</v>
      </c>
      <c r="Z18" s="5">
        <f>_xlfn.PERCENTRANK.INC(PortfolioData[ROI],PortfolioData[[#This Row],[ROI]])</f>
        <v>0.48299999999999998</v>
      </c>
      <c r="AA18" s="3" t="str">
        <f>IF(PortfolioData[[#This Row],[ROI_Percentile]]&lt;=0.1,"Underperforming","Healthy")</f>
        <v>Healthy</v>
      </c>
      <c r="AB18" s="3">
        <f>PortfolioData[[#This Row],[Debt_Outstanding]]/PortfolioData[[#This Row],[Current_Value]]</f>
        <v>1.0623589270906197</v>
      </c>
      <c r="AC18">
        <f>PortfolioData[[#This Row],[Units]]*PortfolioData[[#This Row],[Avg_Rent_per_Unit]]*12</f>
        <v>2173224</v>
      </c>
      <c r="AD18" s="13">
        <f>PortfolioData[[#This Row],[Potential_Revenue]]-PortfolioData[[#This Row],[Gross_Rental_Income]]</f>
        <v>701040</v>
      </c>
      <c r="AE18" s="3">
        <f>IFERROR(PortfolioData[[#This Row],[Vacancy_Loss]]/PortfolioData[[#This Row],[Potential_Revenue]],0)</f>
        <v>0.32258064516129031</v>
      </c>
      <c r="AF18" s="17">
        <f xml:space="preserve"> (PortfolioData[[#This Row],[Vacancy_%]] * 0.4) + (PortfolioData[[#This Row],[Debt_Ratio]] * 0.3) + (PortfolioData[[#This Row],[Interest_Rate]]/100 * 0.3)</f>
        <v>0.46378993619170206</v>
      </c>
    </row>
    <row r="19" spans="1:32" x14ac:dyDescent="0.3">
      <c r="A19" t="s">
        <v>66</v>
      </c>
      <c r="B19" t="s">
        <v>19</v>
      </c>
      <c r="C19" t="s">
        <v>23</v>
      </c>
      <c r="D19">
        <v>2017</v>
      </c>
      <c r="E19">
        <v>6146954</v>
      </c>
      <c r="F19">
        <v>8530117.2699999996</v>
      </c>
      <c r="G19">
        <v>77</v>
      </c>
      <c r="H19">
        <v>67</v>
      </c>
      <c r="I19">
        <v>4699</v>
      </c>
      <c r="J19">
        <v>477082</v>
      </c>
      <c r="K19">
        <v>421243</v>
      </c>
      <c r="L19">
        <v>11283452</v>
      </c>
      <c r="M19">
        <v>4.84</v>
      </c>
      <c r="N19" t="s">
        <v>17</v>
      </c>
      <c r="O19" s="5">
        <f>PortfolioData[[#This Row],[Occupied_Units]]*PortfolioData[[#This Row],[Avg_Rent_per_Unit]]*12</f>
        <v>3777996</v>
      </c>
      <c r="P19" s="3">
        <f>1-(PortfolioData[[#This Row],[Occupied_Units]]/PortfolioData[[#This Row],[Units]])</f>
        <v>0.12987012987012991</v>
      </c>
      <c r="Q19" s="5">
        <f>PortfolioData[[#This Row],[Gross_Rental_Income]] - PortfolioData[[#This Row],[Operating_Cost]] - PortfolioData[[#This Row],[Maintenance_Cost]]</f>
        <v>2879671</v>
      </c>
      <c r="R19" s="5">
        <f>PortfolioData[[#This Row],[Adjusted_Debt_Outstanding]]*(PortfolioData[[#This Row],[Interest_Rate]]/100)</f>
        <v>330286.14069439995</v>
      </c>
      <c r="S19" s="5">
        <f>MIN(PortfolioData[[#This Row],[Debt_Outstanding]], PortfolioData[[#This Row],[Current_Value]]*0.8)</f>
        <v>6824093.8159999996</v>
      </c>
      <c r="T19" s="5">
        <f>PortfolioData[[#This Row],[Net Operating Income (NOI)]]/PortfolioData[[#This Row],[Annual_Debt_Service]]</f>
        <v>8.7187158200029948</v>
      </c>
      <c r="U19" s="5">
        <f>PortfolioData[[#This Row],[Net Operating Income (NOI)]]-PortfolioData[[#This Row],[Annual_Debt_Service]]</f>
        <v>2549384.8593056002</v>
      </c>
      <c r="V19" s="5">
        <f>PortfolioData[[#This Row],[Net Operating Income (NOI)]]</f>
        <v>2879671</v>
      </c>
      <c r="W19" s="3">
        <f>PortfolioData[[#This Row],[Gross_Rental_Income]] / PortfolioData[[#This Row],[Purchase_Price]]</f>
        <v>0.61461270085964526</v>
      </c>
      <c r="X19" s="3">
        <f>PortfolioData[[#This Row],[Net Operating Income (NOI)]]/PortfolioData[[#This Row],[Current_Value]]</f>
        <v>0.33758867655051594</v>
      </c>
      <c r="Y19" s="3">
        <f>(PortfolioData[[#This Row],[Current_Value]]-PortfolioData[[#This Row],[Purchase_Price]]+PortfolioData[[#This Row],[Net Operating Income (NOI)]]) / PortfolioData[[#This Row],[Purchase_Price]]</f>
        <v>0.85616945726289795</v>
      </c>
      <c r="Z19" s="5">
        <f>_xlfn.PERCENTRANK.INC(PortfolioData[ROI],PortfolioData[[#This Row],[ROI]])</f>
        <v>1</v>
      </c>
      <c r="AA19" s="3" t="str">
        <f>IF(PortfolioData[[#This Row],[ROI_Percentile]]&lt;=0.1,"Underperforming","Healthy")</f>
        <v>Healthy</v>
      </c>
      <c r="AB19" s="3">
        <f>PortfolioData[[#This Row],[Debt_Outstanding]]/PortfolioData[[#This Row],[Current_Value]]</f>
        <v>1.3227780630500054</v>
      </c>
      <c r="AC19">
        <f>PortfolioData[[#This Row],[Units]]*PortfolioData[[#This Row],[Avg_Rent_per_Unit]]*12</f>
        <v>4341876</v>
      </c>
      <c r="AD19" s="13">
        <f>PortfolioData[[#This Row],[Potential_Revenue]]-PortfolioData[[#This Row],[Gross_Rental_Income]]</f>
        <v>563880</v>
      </c>
      <c r="AE19" s="3">
        <f>IFERROR(PortfolioData[[#This Row],[Vacancy_Loss]]/PortfolioData[[#This Row],[Potential_Revenue]],0)</f>
        <v>0.12987012987012986</v>
      </c>
      <c r="AF19" s="17">
        <f xml:space="preserve"> (PortfolioData[[#This Row],[Vacancy_%]] * 0.4) + (PortfolioData[[#This Row],[Debt_Ratio]] * 0.3) + (PortfolioData[[#This Row],[Interest_Rate]]/100 * 0.3)</f>
        <v>0.46330147086305357</v>
      </c>
    </row>
    <row r="20" spans="1:32" x14ac:dyDescent="0.3">
      <c r="A20" t="s">
        <v>174</v>
      </c>
      <c r="B20" t="s">
        <v>15</v>
      </c>
      <c r="C20" t="s">
        <v>23</v>
      </c>
      <c r="D20">
        <v>2020</v>
      </c>
      <c r="E20">
        <v>11052185</v>
      </c>
      <c r="F20">
        <v>12390757.76</v>
      </c>
      <c r="G20">
        <v>63</v>
      </c>
      <c r="H20">
        <v>44</v>
      </c>
      <c r="I20">
        <v>3576</v>
      </c>
      <c r="J20">
        <v>246032</v>
      </c>
      <c r="K20">
        <v>258020</v>
      </c>
      <c r="L20">
        <v>12174900</v>
      </c>
      <c r="M20">
        <v>5.64</v>
      </c>
      <c r="N20" t="s">
        <v>24</v>
      </c>
      <c r="O20" s="5">
        <f>PortfolioData[[#This Row],[Occupied_Units]]*PortfolioData[[#This Row],[Avg_Rent_per_Unit]]*12</f>
        <v>1888128</v>
      </c>
      <c r="P20" s="3">
        <f>1-(PortfolioData[[#This Row],[Occupied_Units]]/PortfolioData[[#This Row],[Units]])</f>
        <v>0.30158730158730163</v>
      </c>
      <c r="Q20" s="5">
        <f>PortfolioData[[#This Row],[Gross_Rental_Income]] - PortfolioData[[#This Row],[Operating_Cost]] - PortfolioData[[#This Row],[Maintenance_Cost]]</f>
        <v>1384076</v>
      </c>
      <c r="R20" s="5">
        <f>PortfolioData[[#This Row],[Adjusted_Debt_Outstanding]]*(PortfolioData[[#This Row],[Interest_Rate]]/100)</f>
        <v>559070.99013120006</v>
      </c>
      <c r="S20" s="5">
        <f>MIN(PortfolioData[[#This Row],[Debt_Outstanding]], PortfolioData[[#This Row],[Current_Value]]*0.8)</f>
        <v>9912606.2080000006</v>
      </c>
      <c r="T20" s="5">
        <f>PortfolioData[[#This Row],[Net Operating Income (NOI)]]/PortfolioData[[#This Row],[Annual_Debt_Service]]</f>
        <v>2.4756712911810927</v>
      </c>
      <c r="U20" s="5">
        <f>PortfolioData[[#This Row],[Net Operating Income (NOI)]]-PortfolioData[[#This Row],[Annual_Debt_Service]]</f>
        <v>825005.00986879994</v>
      </c>
      <c r="V20" s="5">
        <f>PortfolioData[[#This Row],[Net Operating Income (NOI)]]</f>
        <v>1384076</v>
      </c>
      <c r="W20" s="3">
        <f>PortfolioData[[#This Row],[Gross_Rental_Income]] / PortfolioData[[#This Row],[Purchase_Price]]</f>
        <v>0.17083753122120196</v>
      </c>
      <c r="X20" s="3">
        <f>PortfolioData[[#This Row],[Net Operating Income (NOI)]]/PortfolioData[[#This Row],[Current_Value]]</f>
        <v>0.11170228865809091</v>
      </c>
      <c r="Y20" s="3">
        <f>(PortfolioData[[#This Row],[Current_Value]]-PortfolioData[[#This Row],[Purchase_Price]]+PortfolioData[[#This Row],[Net Operating Income (NOI)]]) / PortfolioData[[#This Row],[Purchase_Price]]</f>
        <v>0.24634484131418355</v>
      </c>
      <c r="Z20" s="5">
        <f>_xlfn.PERCENTRANK.INC(PortfolioData[ROI],PortfolioData[[#This Row],[ROI]])</f>
        <v>0.55000000000000004</v>
      </c>
      <c r="AA20" s="3" t="str">
        <f>IF(PortfolioData[[#This Row],[ROI_Percentile]]&lt;=0.1,"Underperforming","Healthy")</f>
        <v>Healthy</v>
      </c>
      <c r="AB20" s="3">
        <f>PortfolioData[[#This Row],[Debt_Outstanding]]/PortfolioData[[#This Row],[Current_Value]]</f>
        <v>0.9825791316252801</v>
      </c>
      <c r="AC20">
        <f>PortfolioData[[#This Row],[Units]]*PortfolioData[[#This Row],[Avg_Rent_per_Unit]]*12</f>
        <v>2703456</v>
      </c>
      <c r="AD20" s="13">
        <f>PortfolioData[[#This Row],[Potential_Revenue]]-PortfolioData[[#This Row],[Gross_Rental_Income]]</f>
        <v>815328</v>
      </c>
      <c r="AE20" s="3">
        <f>IFERROR(PortfolioData[[#This Row],[Vacancy_Loss]]/PortfolioData[[#This Row],[Potential_Revenue]],0)</f>
        <v>0.30158730158730157</v>
      </c>
      <c r="AF20" s="17">
        <f xml:space="preserve"> (PortfolioData[[#This Row],[Vacancy_%]] * 0.4) + (PortfolioData[[#This Row],[Debt_Ratio]] * 0.3) + (PortfolioData[[#This Row],[Interest_Rate]]/100 * 0.3)</f>
        <v>0.43232866012250465</v>
      </c>
    </row>
    <row r="21" spans="1:32" x14ac:dyDescent="0.3">
      <c r="A21" t="s">
        <v>129</v>
      </c>
      <c r="B21" t="s">
        <v>22</v>
      </c>
      <c r="C21" t="s">
        <v>23</v>
      </c>
      <c r="D21">
        <v>2013</v>
      </c>
      <c r="E21">
        <v>12661161</v>
      </c>
      <c r="F21">
        <v>12437875.82</v>
      </c>
      <c r="G21">
        <v>55</v>
      </c>
      <c r="H21">
        <v>44</v>
      </c>
      <c r="I21">
        <v>2033</v>
      </c>
      <c r="J21">
        <v>892694</v>
      </c>
      <c r="K21">
        <v>463629</v>
      </c>
      <c r="L21">
        <v>13875228</v>
      </c>
      <c r="M21">
        <v>3.97</v>
      </c>
      <c r="N21" t="s">
        <v>24</v>
      </c>
      <c r="O21" s="5">
        <f>PortfolioData[[#This Row],[Occupied_Units]]*PortfolioData[[#This Row],[Avg_Rent_per_Unit]]*12</f>
        <v>1073424</v>
      </c>
      <c r="P21" s="3">
        <f>1-(PortfolioData[[#This Row],[Occupied_Units]]/PortfolioData[[#This Row],[Units]])</f>
        <v>0.19999999999999996</v>
      </c>
      <c r="Q21" s="5">
        <f>PortfolioData[[#This Row],[Gross_Rental_Income]] - PortfolioData[[#This Row],[Operating_Cost]] - PortfolioData[[#This Row],[Maintenance_Cost]]</f>
        <v>-282899</v>
      </c>
      <c r="R21" s="5">
        <f>PortfolioData[[#This Row],[Adjusted_Debt_Outstanding]]*(PortfolioData[[#This Row],[Interest_Rate]]/100)</f>
        <v>395026.93604320002</v>
      </c>
      <c r="S21" s="5">
        <f>MIN(PortfolioData[[#This Row],[Debt_Outstanding]], PortfolioData[[#This Row],[Current_Value]]*0.8)</f>
        <v>9950300.6560000014</v>
      </c>
      <c r="T21" s="5">
        <f>PortfolioData[[#This Row],[Net Operating Income (NOI)]]/PortfolioData[[#This Row],[Annual_Debt_Service]]</f>
        <v>-0.71615116385142463</v>
      </c>
      <c r="U21" s="5">
        <f>PortfolioData[[#This Row],[Net Operating Income (NOI)]]-PortfolioData[[#This Row],[Annual_Debt_Service]]</f>
        <v>-677925.93604320008</v>
      </c>
      <c r="V21" s="5">
        <f>PortfolioData[[#This Row],[Net Operating Income (NOI)]]</f>
        <v>-282899</v>
      </c>
      <c r="W21" s="3">
        <f>PortfolioData[[#This Row],[Gross_Rental_Income]] / PortfolioData[[#This Row],[Purchase_Price]]</f>
        <v>8.4780850666064514E-2</v>
      </c>
      <c r="X21" s="3">
        <f>PortfolioData[[#This Row],[Net Operating Income (NOI)]]/PortfolioData[[#This Row],[Current_Value]]</f>
        <v>-2.274496096392125E-2</v>
      </c>
      <c r="Y21" s="3">
        <f>(PortfolioData[[#This Row],[Current_Value]]-PortfolioData[[#This Row],[Purchase_Price]]+PortfolioData[[#This Row],[Net Operating Income (NOI)]]) / PortfolioData[[#This Row],[Purchase_Price]]</f>
        <v>-3.9979286259767148E-2</v>
      </c>
      <c r="Z21" s="5">
        <f>_xlfn.PERCENTRANK.INC(PortfolioData[ROI],PortfolioData[[#This Row],[ROI]])</f>
        <v>8.6999999999999994E-2</v>
      </c>
      <c r="AA21" s="3" t="str">
        <f>IF(PortfolioData[[#This Row],[ROI_Percentile]]&lt;=0.1,"Underperforming","Healthy")</f>
        <v>Underperforming</v>
      </c>
      <c r="AB21" s="3">
        <f>PortfolioData[[#This Row],[Debt_Outstanding]]/PortfolioData[[#This Row],[Current_Value]]</f>
        <v>1.1155625125062552</v>
      </c>
      <c r="AC21">
        <f>PortfolioData[[#This Row],[Units]]*PortfolioData[[#This Row],[Avg_Rent_per_Unit]]*12</f>
        <v>1341780</v>
      </c>
      <c r="AD21" s="13">
        <f>PortfolioData[[#This Row],[Potential_Revenue]]-PortfolioData[[#This Row],[Gross_Rental_Income]]</f>
        <v>268356</v>
      </c>
      <c r="AE21" s="3">
        <f>IFERROR(PortfolioData[[#This Row],[Vacancy_Loss]]/PortfolioData[[#This Row],[Potential_Revenue]],0)</f>
        <v>0.2</v>
      </c>
      <c r="AF21" s="17">
        <f xml:space="preserve"> (PortfolioData[[#This Row],[Vacancy_%]] * 0.4) + (PortfolioData[[#This Row],[Debt_Ratio]] * 0.3) + (PortfolioData[[#This Row],[Interest_Rate]]/100 * 0.3)</f>
        <v>0.42657875375187648</v>
      </c>
    </row>
    <row r="22" spans="1:32" x14ac:dyDescent="0.3">
      <c r="A22" t="s">
        <v>55</v>
      </c>
      <c r="B22" t="s">
        <v>22</v>
      </c>
      <c r="C22" t="s">
        <v>30</v>
      </c>
      <c r="D22">
        <v>2019</v>
      </c>
      <c r="E22">
        <v>8128077</v>
      </c>
      <c r="F22">
        <v>9693403.1600000001</v>
      </c>
      <c r="G22">
        <v>57</v>
      </c>
      <c r="H22">
        <v>54</v>
      </c>
      <c r="I22">
        <v>5212</v>
      </c>
      <c r="J22">
        <v>809751</v>
      </c>
      <c r="K22">
        <v>451690</v>
      </c>
      <c r="L22">
        <v>12578218</v>
      </c>
      <c r="M22">
        <v>4.43</v>
      </c>
      <c r="N22" t="s">
        <v>17</v>
      </c>
      <c r="O22" s="5">
        <f>PortfolioData[[#This Row],[Occupied_Units]]*PortfolioData[[#This Row],[Avg_Rent_per_Unit]]*12</f>
        <v>3377376</v>
      </c>
      <c r="P22" s="3">
        <f>1-(PortfolioData[[#This Row],[Occupied_Units]]/PortfolioData[[#This Row],[Units]])</f>
        <v>5.2631578947368474E-2</v>
      </c>
      <c r="Q22" s="5">
        <f>PortfolioData[[#This Row],[Gross_Rental_Income]] - PortfolioData[[#This Row],[Operating_Cost]] - PortfolioData[[#This Row],[Maintenance_Cost]]</f>
        <v>2115935</v>
      </c>
      <c r="R22" s="5">
        <f>PortfolioData[[#This Row],[Adjusted_Debt_Outstanding]]*(PortfolioData[[#This Row],[Interest_Rate]]/100)</f>
        <v>343534.20799040003</v>
      </c>
      <c r="S22" s="5">
        <f>MIN(PortfolioData[[#This Row],[Debt_Outstanding]], PortfolioData[[#This Row],[Current_Value]]*0.8)</f>
        <v>7754722.5280000009</v>
      </c>
      <c r="T22" s="5">
        <f>PortfolioData[[#This Row],[Net Operating Income (NOI)]]/PortfolioData[[#This Row],[Annual_Debt_Service]]</f>
        <v>6.1593138347932133</v>
      </c>
      <c r="U22" s="5">
        <f>PortfolioData[[#This Row],[Net Operating Income (NOI)]]-PortfolioData[[#This Row],[Annual_Debt_Service]]</f>
        <v>1772400.7920096</v>
      </c>
      <c r="V22" s="5">
        <f>PortfolioData[[#This Row],[Net Operating Income (NOI)]]</f>
        <v>2115935</v>
      </c>
      <c r="W22" s="3">
        <f>PortfolioData[[#This Row],[Gross_Rental_Income]] / PortfolioData[[#This Row],[Purchase_Price]]</f>
        <v>0.41551968565258424</v>
      </c>
      <c r="X22" s="3">
        <f>PortfolioData[[#This Row],[Net Operating Income (NOI)]]/PortfolioData[[#This Row],[Current_Value]]</f>
        <v>0.21828608230507149</v>
      </c>
      <c r="Y22" s="3">
        <f>(PortfolioData[[#This Row],[Current_Value]]-PortfolioData[[#This Row],[Purchase_Price]]+PortfolioData[[#This Row],[Net Operating Income (NOI)]]) / PortfolioData[[#This Row],[Purchase_Price]]</f>
        <v>0.45290677733490964</v>
      </c>
      <c r="Z22" s="5">
        <f>_xlfn.PERCENTRANK.INC(PortfolioData[ROI],PortfolioData[[#This Row],[ROI]])</f>
        <v>0.91200000000000003</v>
      </c>
      <c r="AA22" s="3" t="str">
        <f>IF(PortfolioData[[#This Row],[ROI_Percentile]]&lt;=0.1,"Underperforming","Healthy")</f>
        <v>Healthy</v>
      </c>
      <c r="AB22" s="3">
        <f>PortfolioData[[#This Row],[Debt_Outstanding]]/PortfolioData[[#This Row],[Current_Value]]</f>
        <v>1.2976059895975687</v>
      </c>
      <c r="AC22">
        <f>PortfolioData[[#This Row],[Units]]*PortfolioData[[#This Row],[Avg_Rent_per_Unit]]*12</f>
        <v>3565008</v>
      </c>
      <c r="AD22" s="13">
        <f>PortfolioData[[#This Row],[Potential_Revenue]]-PortfolioData[[#This Row],[Gross_Rental_Income]]</f>
        <v>187632</v>
      </c>
      <c r="AE22" s="3">
        <f>IFERROR(PortfolioData[[#This Row],[Vacancy_Loss]]/PortfolioData[[#This Row],[Potential_Revenue]],0)</f>
        <v>5.2631578947368418E-2</v>
      </c>
      <c r="AF22" s="17">
        <f xml:space="preserve"> (PortfolioData[[#This Row],[Vacancy_%]] * 0.4) + (PortfolioData[[#This Row],[Debt_Ratio]] * 0.3) + (PortfolioData[[#This Row],[Interest_Rate]]/100 * 0.3)</f>
        <v>0.42362442845821802</v>
      </c>
    </row>
    <row r="23" spans="1:32" x14ac:dyDescent="0.3">
      <c r="A23" t="s">
        <v>53</v>
      </c>
      <c r="B23" t="s">
        <v>22</v>
      </c>
      <c r="C23" t="s">
        <v>23</v>
      </c>
      <c r="D23">
        <v>2019</v>
      </c>
      <c r="E23">
        <v>6293742</v>
      </c>
      <c r="F23">
        <v>6398156.9299999997</v>
      </c>
      <c r="G23">
        <v>18</v>
      </c>
      <c r="H23">
        <v>15</v>
      </c>
      <c r="I23">
        <v>5906</v>
      </c>
      <c r="J23">
        <v>296117</v>
      </c>
      <c r="K23">
        <v>101551</v>
      </c>
      <c r="L23">
        <v>7068835</v>
      </c>
      <c r="M23">
        <v>5.27</v>
      </c>
      <c r="N23" t="s">
        <v>24</v>
      </c>
      <c r="O23" s="5">
        <f>PortfolioData[[#This Row],[Occupied_Units]]*PortfolioData[[#This Row],[Avg_Rent_per_Unit]]*12</f>
        <v>1063080</v>
      </c>
      <c r="P23" s="3">
        <f>1-(PortfolioData[[#This Row],[Occupied_Units]]/PortfolioData[[#This Row],[Units]])</f>
        <v>0.16666666666666663</v>
      </c>
      <c r="Q23" s="5">
        <f>PortfolioData[[#This Row],[Gross_Rental_Income]] - PortfolioData[[#This Row],[Operating_Cost]] - PortfolioData[[#This Row],[Maintenance_Cost]]</f>
        <v>665412</v>
      </c>
      <c r="R23" s="5">
        <f>PortfolioData[[#This Row],[Adjusted_Debt_Outstanding]]*(PortfolioData[[#This Row],[Interest_Rate]]/100)</f>
        <v>269746.29616879998</v>
      </c>
      <c r="S23" s="5">
        <f>MIN(PortfolioData[[#This Row],[Debt_Outstanding]], PortfolioData[[#This Row],[Current_Value]]*0.8)</f>
        <v>5118525.5439999998</v>
      </c>
      <c r="T23" s="5">
        <f>PortfolioData[[#This Row],[Net Operating Income (NOI)]]/PortfolioData[[#This Row],[Annual_Debt_Service]]</f>
        <v>2.4668068086599533</v>
      </c>
      <c r="U23" s="5">
        <f>PortfolioData[[#This Row],[Net Operating Income (NOI)]]-PortfolioData[[#This Row],[Annual_Debt_Service]]</f>
        <v>395665.70383120002</v>
      </c>
      <c r="V23" s="5">
        <f>PortfolioData[[#This Row],[Net Operating Income (NOI)]]</f>
        <v>665412</v>
      </c>
      <c r="W23" s="3">
        <f>PortfolioData[[#This Row],[Gross_Rental_Income]] / PortfolioData[[#This Row],[Purchase_Price]]</f>
        <v>0.16891064171362602</v>
      </c>
      <c r="X23" s="3">
        <f>PortfolioData[[#This Row],[Net Operating Income (NOI)]]/PortfolioData[[#This Row],[Current_Value]]</f>
        <v>0.10400057505310362</v>
      </c>
      <c r="Y23" s="3">
        <f>(PortfolioData[[#This Row],[Current_Value]]-PortfolioData[[#This Row],[Purchase_Price]]+PortfolioData[[#This Row],[Net Operating Income (NOI)]]) / PortfolioData[[#This Row],[Purchase_Price]]</f>
        <v>0.12231625160357697</v>
      </c>
      <c r="Z23" s="5">
        <f>_xlfn.PERCENTRANK.INC(PortfolioData[ROI],PortfolioData[[#This Row],[ROI]])</f>
        <v>0.35499999999999998</v>
      </c>
      <c r="AA23" s="3" t="str">
        <f>IF(PortfolioData[[#This Row],[ROI_Percentile]]&lt;=0.1,"Underperforming","Healthy")</f>
        <v>Healthy</v>
      </c>
      <c r="AB23" s="3">
        <f>PortfolioData[[#This Row],[Debt_Outstanding]]/PortfolioData[[#This Row],[Current_Value]]</f>
        <v>1.1048236355152983</v>
      </c>
      <c r="AC23">
        <f>PortfolioData[[#This Row],[Units]]*PortfolioData[[#This Row],[Avg_Rent_per_Unit]]*12</f>
        <v>1275696</v>
      </c>
      <c r="AD23" s="13">
        <f>PortfolioData[[#This Row],[Potential_Revenue]]-PortfolioData[[#This Row],[Gross_Rental_Income]]</f>
        <v>212616</v>
      </c>
      <c r="AE23" s="3">
        <f>IFERROR(PortfolioData[[#This Row],[Vacancy_Loss]]/PortfolioData[[#This Row],[Potential_Revenue]],0)</f>
        <v>0.16666666666666666</v>
      </c>
      <c r="AF23" s="17">
        <f xml:space="preserve"> (PortfolioData[[#This Row],[Vacancy_%]] * 0.4) + (PortfolioData[[#This Row],[Debt_Ratio]] * 0.3) + (PortfolioData[[#This Row],[Interest_Rate]]/100 * 0.3)</f>
        <v>0.41392375732125614</v>
      </c>
    </row>
    <row r="24" spans="1:32" x14ac:dyDescent="0.3">
      <c r="A24" t="s">
        <v>90</v>
      </c>
      <c r="B24" t="s">
        <v>22</v>
      </c>
      <c r="C24" t="s">
        <v>23</v>
      </c>
      <c r="D24">
        <v>2019</v>
      </c>
      <c r="E24">
        <v>6326217</v>
      </c>
      <c r="F24">
        <v>6445338.5499999998</v>
      </c>
      <c r="G24">
        <v>48</v>
      </c>
      <c r="H24">
        <v>45</v>
      </c>
      <c r="I24">
        <v>3660</v>
      </c>
      <c r="J24">
        <v>211569</v>
      </c>
      <c r="K24">
        <v>388337</v>
      </c>
      <c r="L24">
        <v>8023111</v>
      </c>
      <c r="M24">
        <v>4.68</v>
      </c>
      <c r="N24" t="s">
        <v>24</v>
      </c>
      <c r="O24" s="5">
        <f>PortfolioData[[#This Row],[Occupied_Units]]*PortfolioData[[#This Row],[Avg_Rent_per_Unit]]*12</f>
        <v>1976400</v>
      </c>
      <c r="P24" s="3">
        <f>1-(PortfolioData[[#This Row],[Occupied_Units]]/PortfolioData[[#This Row],[Units]])</f>
        <v>6.25E-2</v>
      </c>
      <c r="Q24" s="5">
        <f>PortfolioData[[#This Row],[Gross_Rental_Income]] - PortfolioData[[#This Row],[Operating_Cost]] - PortfolioData[[#This Row],[Maintenance_Cost]]</f>
        <v>1376494</v>
      </c>
      <c r="R24" s="5">
        <f>PortfolioData[[#This Row],[Adjusted_Debt_Outstanding]]*(PortfolioData[[#This Row],[Interest_Rate]]/100)</f>
        <v>241313.47531199997</v>
      </c>
      <c r="S24" s="5">
        <f>MIN(PortfolioData[[#This Row],[Debt_Outstanding]], PortfolioData[[#This Row],[Current_Value]]*0.8)</f>
        <v>5156270.84</v>
      </c>
      <c r="T24" s="5">
        <f>PortfolioData[[#This Row],[Net Operating Income (NOI)]]/PortfolioData[[#This Row],[Annual_Debt_Service]]</f>
        <v>5.7041737856549366</v>
      </c>
      <c r="U24" s="5">
        <f>PortfolioData[[#This Row],[Net Operating Income (NOI)]]-PortfolioData[[#This Row],[Annual_Debt_Service]]</f>
        <v>1135180.5246880001</v>
      </c>
      <c r="V24" s="5">
        <f>PortfolioData[[#This Row],[Net Operating Income (NOI)]]</f>
        <v>1376494</v>
      </c>
      <c r="W24" s="3">
        <f>PortfolioData[[#This Row],[Gross_Rental_Income]] / PortfolioData[[#This Row],[Purchase_Price]]</f>
        <v>0.31241419635146883</v>
      </c>
      <c r="X24" s="3">
        <f>PortfolioData[[#This Row],[Net Operating Income (NOI)]]/PortfolioData[[#This Row],[Current_Value]]</f>
        <v>0.2135642665349208</v>
      </c>
      <c r="Y24" s="3">
        <f>(PortfolioData[[#This Row],[Current_Value]]-PortfolioData[[#This Row],[Purchase_Price]]+PortfolioData[[#This Row],[Net Operating Income (NOI)]]) / PortfolioData[[#This Row],[Purchase_Price]]</f>
        <v>0.236415467569323</v>
      </c>
      <c r="Z24" s="5">
        <f>_xlfn.PERCENTRANK.INC(PortfolioData[ROI],PortfolioData[[#This Row],[ROI]])</f>
        <v>0.53</v>
      </c>
      <c r="AA24" s="3" t="str">
        <f>IF(PortfolioData[[#This Row],[ROI_Percentile]]&lt;=0.1,"Underperforming","Healthy")</f>
        <v>Healthy</v>
      </c>
      <c r="AB24" s="3">
        <f>PortfolioData[[#This Row],[Debt_Outstanding]]/PortfolioData[[#This Row],[Current_Value]]</f>
        <v>1.2447927968035131</v>
      </c>
      <c r="AC24">
        <f>PortfolioData[[#This Row],[Units]]*PortfolioData[[#This Row],[Avg_Rent_per_Unit]]*12</f>
        <v>2108160</v>
      </c>
      <c r="AD24" s="13">
        <f>PortfolioData[[#This Row],[Potential_Revenue]]-PortfolioData[[#This Row],[Gross_Rental_Income]]</f>
        <v>131760</v>
      </c>
      <c r="AE24" s="3">
        <f>IFERROR(PortfolioData[[#This Row],[Vacancy_Loss]]/PortfolioData[[#This Row],[Potential_Revenue]],0)</f>
        <v>6.25E-2</v>
      </c>
      <c r="AF24" s="17">
        <f xml:space="preserve"> (PortfolioData[[#This Row],[Vacancy_%]] * 0.4) + (PortfolioData[[#This Row],[Debt_Ratio]] * 0.3) + (PortfolioData[[#This Row],[Interest_Rate]]/100 * 0.3)</f>
        <v>0.41247783904105395</v>
      </c>
    </row>
    <row r="25" spans="1:32" x14ac:dyDescent="0.3">
      <c r="A25" t="s">
        <v>75</v>
      </c>
      <c r="B25" t="s">
        <v>19</v>
      </c>
      <c r="C25" t="s">
        <v>16</v>
      </c>
      <c r="D25">
        <v>2019</v>
      </c>
      <c r="E25">
        <v>9083243</v>
      </c>
      <c r="F25">
        <v>10046521.449999999</v>
      </c>
      <c r="G25">
        <v>28</v>
      </c>
      <c r="H25">
        <v>28</v>
      </c>
      <c r="I25">
        <v>3831</v>
      </c>
      <c r="J25">
        <v>898536</v>
      </c>
      <c r="K25">
        <v>368748</v>
      </c>
      <c r="L25">
        <v>13247980</v>
      </c>
      <c r="M25">
        <v>5.62</v>
      </c>
      <c r="N25" t="s">
        <v>24</v>
      </c>
      <c r="O25" s="5">
        <f>PortfolioData[[#This Row],[Occupied_Units]]*PortfolioData[[#This Row],[Avg_Rent_per_Unit]]*12</f>
        <v>1287216</v>
      </c>
      <c r="P25" s="3">
        <f>1-(PortfolioData[[#This Row],[Occupied_Units]]/PortfolioData[[#This Row],[Units]])</f>
        <v>0</v>
      </c>
      <c r="Q25" s="5">
        <f>PortfolioData[[#This Row],[Gross_Rental_Income]] - PortfolioData[[#This Row],[Operating_Cost]] - PortfolioData[[#This Row],[Maintenance_Cost]]</f>
        <v>19932</v>
      </c>
      <c r="R25" s="5">
        <f>PortfolioData[[#This Row],[Adjusted_Debt_Outstanding]]*(PortfolioData[[#This Row],[Interest_Rate]]/100)</f>
        <v>451691.60439200001</v>
      </c>
      <c r="S25" s="5">
        <f>MIN(PortfolioData[[#This Row],[Debt_Outstanding]], PortfolioData[[#This Row],[Current_Value]]*0.8)</f>
        <v>8037217.1600000001</v>
      </c>
      <c r="T25" s="5">
        <f>PortfolioData[[#This Row],[Net Operating Income (NOI)]]/PortfolioData[[#This Row],[Annual_Debt_Service]]</f>
        <v>4.4127452904132433E-2</v>
      </c>
      <c r="U25" s="5">
        <f>PortfolioData[[#This Row],[Net Operating Income (NOI)]]-PortfolioData[[#This Row],[Annual_Debt_Service]]</f>
        <v>-431759.60439200001</v>
      </c>
      <c r="V25" s="5">
        <f>PortfolioData[[#This Row],[Net Operating Income (NOI)]]</f>
        <v>19932</v>
      </c>
      <c r="W25" s="3">
        <f>PortfolioData[[#This Row],[Gross_Rental_Income]] / PortfolioData[[#This Row],[Purchase_Price]]</f>
        <v>0.14171326254290456</v>
      </c>
      <c r="X25" s="3">
        <f>PortfolioData[[#This Row],[Net Operating Income (NOI)]]/PortfolioData[[#This Row],[Current_Value]]</f>
        <v>1.9839702825697947E-3</v>
      </c>
      <c r="Y25" s="3">
        <f>(PortfolioData[[#This Row],[Current_Value]]-PortfolioData[[#This Row],[Purchase_Price]]+PortfolioData[[#This Row],[Net Operating Income (NOI)]]) / PortfolioData[[#This Row],[Purchase_Price]]</f>
        <v>0.10824442877945677</v>
      </c>
      <c r="Z25" s="5">
        <f>_xlfn.PERCENTRANK.INC(PortfolioData[ROI],PortfolioData[[#This Row],[ROI]])</f>
        <v>0.33500000000000002</v>
      </c>
      <c r="AA25" s="3" t="str">
        <f>IF(PortfolioData[[#This Row],[ROI_Percentile]]&lt;=0.1,"Underperforming","Healthy")</f>
        <v>Healthy</v>
      </c>
      <c r="AB25" s="3">
        <f>PortfolioData[[#This Row],[Debt_Outstanding]]/PortfolioData[[#This Row],[Current_Value]]</f>
        <v>1.3186633867187931</v>
      </c>
      <c r="AC25">
        <f>PortfolioData[[#This Row],[Units]]*PortfolioData[[#This Row],[Avg_Rent_per_Unit]]*12</f>
        <v>1287216</v>
      </c>
      <c r="AD25" s="13">
        <f>PortfolioData[[#This Row],[Potential_Revenue]]-PortfolioData[[#This Row],[Gross_Rental_Income]]</f>
        <v>0</v>
      </c>
      <c r="AE25" s="3">
        <f>IFERROR(PortfolioData[[#This Row],[Vacancy_Loss]]/PortfolioData[[#This Row],[Potential_Revenue]],0)</f>
        <v>0</v>
      </c>
      <c r="AF25" s="17">
        <f xml:space="preserve"> (PortfolioData[[#This Row],[Vacancy_%]] * 0.4) + (PortfolioData[[#This Row],[Debt_Ratio]] * 0.3) + (PortfolioData[[#This Row],[Interest_Rate]]/100 * 0.3)</f>
        <v>0.41245901601563789</v>
      </c>
    </row>
    <row r="26" spans="1:32" x14ac:dyDescent="0.3">
      <c r="A26" t="s">
        <v>148</v>
      </c>
      <c r="B26" t="s">
        <v>27</v>
      </c>
      <c r="C26" t="s">
        <v>16</v>
      </c>
      <c r="D26">
        <v>2013</v>
      </c>
      <c r="E26">
        <v>10037662</v>
      </c>
      <c r="F26">
        <v>11543799.220000001</v>
      </c>
      <c r="G26">
        <v>44</v>
      </c>
      <c r="H26">
        <v>31</v>
      </c>
      <c r="I26">
        <v>1994</v>
      </c>
      <c r="J26">
        <v>321955</v>
      </c>
      <c r="K26">
        <v>241619</v>
      </c>
      <c r="L26">
        <v>10655410</v>
      </c>
      <c r="M26">
        <v>5.05</v>
      </c>
      <c r="N26" t="s">
        <v>24</v>
      </c>
      <c r="O26" s="5">
        <f>PortfolioData[[#This Row],[Occupied_Units]]*PortfolioData[[#This Row],[Avg_Rent_per_Unit]]*12</f>
        <v>741768</v>
      </c>
      <c r="P26" s="3">
        <f>1-(PortfolioData[[#This Row],[Occupied_Units]]/PortfolioData[[#This Row],[Units]])</f>
        <v>0.29545454545454541</v>
      </c>
      <c r="Q26" s="5">
        <f>PortfolioData[[#This Row],[Gross_Rental_Income]] - PortfolioData[[#This Row],[Operating_Cost]] - PortfolioData[[#This Row],[Maintenance_Cost]]</f>
        <v>178194</v>
      </c>
      <c r="R26" s="5">
        <f>PortfolioData[[#This Row],[Adjusted_Debt_Outstanding]]*(PortfolioData[[#This Row],[Interest_Rate]]/100)</f>
        <v>466369.488488</v>
      </c>
      <c r="S26" s="5">
        <f>MIN(PortfolioData[[#This Row],[Debt_Outstanding]], PortfolioData[[#This Row],[Current_Value]]*0.8)</f>
        <v>9235039.3760000002</v>
      </c>
      <c r="T26" s="5">
        <f>PortfolioData[[#This Row],[Net Operating Income (NOI)]]/PortfolioData[[#This Row],[Annual_Debt_Service]]</f>
        <v>0.38208760306707984</v>
      </c>
      <c r="U26" s="5">
        <f>PortfolioData[[#This Row],[Net Operating Income (NOI)]]-PortfolioData[[#This Row],[Annual_Debt_Service]]</f>
        <v>-288175.488488</v>
      </c>
      <c r="V26" s="5">
        <f>PortfolioData[[#This Row],[Net Operating Income (NOI)]]</f>
        <v>178194</v>
      </c>
      <c r="W26" s="3">
        <f>PortfolioData[[#This Row],[Gross_Rental_Income]] / PortfolioData[[#This Row],[Purchase_Price]]</f>
        <v>7.3898483531324333E-2</v>
      </c>
      <c r="X26" s="3">
        <f>PortfolioData[[#This Row],[Net Operating Income (NOI)]]/PortfolioData[[#This Row],[Current_Value]]</f>
        <v>1.5436339163910025E-2</v>
      </c>
      <c r="Y26" s="3">
        <f>(PortfolioData[[#This Row],[Current_Value]]-PortfolioData[[#This Row],[Purchase_Price]]+PortfolioData[[#This Row],[Net Operating Income (NOI)]]) / PortfolioData[[#This Row],[Purchase_Price]]</f>
        <v>0.16780114931146323</v>
      </c>
      <c r="Z26" s="5">
        <f>_xlfn.PERCENTRANK.INC(PortfolioData[ROI],PortfolioData[[#This Row],[ROI]])</f>
        <v>0.40899999999999997</v>
      </c>
      <c r="AA26" s="3" t="str">
        <f>IF(PortfolioData[[#This Row],[ROI_Percentile]]&lt;=0.1,"Underperforming","Healthy")</f>
        <v>Healthy</v>
      </c>
      <c r="AB26" s="3">
        <f>PortfolioData[[#This Row],[Debt_Outstanding]]/PortfolioData[[#This Row],[Current_Value]]</f>
        <v>0.92304186835986912</v>
      </c>
      <c r="AC26">
        <f>PortfolioData[[#This Row],[Units]]*PortfolioData[[#This Row],[Avg_Rent_per_Unit]]*12</f>
        <v>1052832</v>
      </c>
      <c r="AD26" s="13">
        <f>PortfolioData[[#This Row],[Potential_Revenue]]-PortfolioData[[#This Row],[Gross_Rental_Income]]</f>
        <v>311064</v>
      </c>
      <c r="AE26" s="3">
        <f>IFERROR(PortfolioData[[#This Row],[Vacancy_Loss]]/PortfolioData[[#This Row],[Potential_Revenue]],0)</f>
        <v>0.29545454545454547</v>
      </c>
      <c r="AF26" s="17">
        <f xml:space="preserve"> (PortfolioData[[#This Row],[Vacancy_%]] * 0.4) + (PortfolioData[[#This Row],[Debt_Ratio]] * 0.3) + (PortfolioData[[#This Row],[Interest_Rate]]/100 * 0.3)</f>
        <v>0.41024437868977887</v>
      </c>
    </row>
    <row r="27" spans="1:32" x14ac:dyDescent="0.3">
      <c r="A27" t="s">
        <v>92</v>
      </c>
      <c r="B27" t="s">
        <v>15</v>
      </c>
      <c r="C27" t="s">
        <v>16</v>
      </c>
      <c r="D27">
        <v>2022</v>
      </c>
      <c r="E27">
        <v>14295030</v>
      </c>
      <c r="F27">
        <v>13714409.609999999</v>
      </c>
      <c r="G27">
        <v>80</v>
      </c>
      <c r="H27">
        <v>67</v>
      </c>
      <c r="I27">
        <v>4862</v>
      </c>
      <c r="J27">
        <v>413752</v>
      </c>
      <c r="K27">
        <v>363363</v>
      </c>
      <c r="L27">
        <v>14978610</v>
      </c>
      <c r="M27">
        <v>5.77</v>
      </c>
      <c r="N27" t="s">
        <v>24</v>
      </c>
      <c r="O27" s="5">
        <f>PortfolioData[[#This Row],[Occupied_Units]]*PortfolioData[[#This Row],[Avg_Rent_per_Unit]]*12</f>
        <v>3909048</v>
      </c>
      <c r="P27" s="3">
        <f>1-(PortfolioData[[#This Row],[Occupied_Units]]/PortfolioData[[#This Row],[Units]])</f>
        <v>0.16249999999999998</v>
      </c>
      <c r="Q27" s="5">
        <f>PortfolioData[[#This Row],[Gross_Rental_Income]] - PortfolioData[[#This Row],[Operating_Cost]] - PortfolioData[[#This Row],[Maintenance_Cost]]</f>
        <v>3131933</v>
      </c>
      <c r="R27" s="5">
        <f>PortfolioData[[#This Row],[Adjusted_Debt_Outstanding]]*(PortfolioData[[#This Row],[Interest_Rate]]/100)</f>
        <v>633057.14759760001</v>
      </c>
      <c r="S27" s="5">
        <f>MIN(PortfolioData[[#This Row],[Debt_Outstanding]], PortfolioData[[#This Row],[Current_Value]]*0.8)</f>
        <v>10971527.688000001</v>
      </c>
      <c r="T27" s="5">
        <f>PortfolioData[[#This Row],[Net Operating Income (NOI)]]/PortfolioData[[#This Row],[Annual_Debt_Service]]</f>
        <v>4.9473148070208657</v>
      </c>
      <c r="U27" s="5">
        <f>PortfolioData[[#This Row],[Net Operating Income (NOI)]]-PortfolioData[[#This Row],[Annual_Debt_Service]]</f>
        <v>2498875.8524024002</v>
      </c>
      <c r="V27" s="5">
        <f>PortfolioData[[#This Row],[Net Operating Income (NOI)]]</f>
        <v>3131933</v>
      </c>
      <c r="W27" s="3">
        <f>PortfolioData[[#This Row],[Gross_Rental_Income]] / PortfolioData[[#This Row],[Purchase_Price]]</f>
        <v>0.27345503996843656</v>
      </c>
      <c r="X27" s="3">
        <f>PortfolioData[[#This Row],[Net Operating Income (NOI)]]/PortfolioData[[#This Row],[Current_Value]]</f>
        <v>0.22836805149208317</v>
      </c>
      <c r="Y27" s="3">
        <f>(PortfolioData[[#This Row],[Current_Value]]-PortfolioData[[#This Row],[Purchase_Price]]+PortfolioData[[#This Row],[Net Operating Income (NOI)]]) / PortfolioData[[#This Row],[Purchase_Price]]</f>
        <v>0.17847549882721472</v>
      </c>
      <c r="Z27" s="5">
        <f>_xlfn.PERCENTRANK.INC(PortfolioData[ROI],PortfolioData[[#This Row],[ROI]])</f>
        <v>0.42899999999999999</v>
      </c>
      <c r="AA27" s="3" t="str">
        <f>IF(PortfolioData[[#This Row],[ROI_Percentile]]&lt;=0.1,"Underperforming","Healthy")</f>
        <v>Healthy</v>
      </c>
      <c r="AB27" s="3">
        <f>PortfolioData[[#This Row],[Debt_Outstanding]]/PortfolioData[[#This Row],[Current_Value]]</f>
        <v>1.0921804456735926</v>
      </c>
      <c r="AC27">
        <f>PortfolioData[[#This Row],[Units]]*PortfolioData[[#This Row],[Avg_Rent_per_Unit]]*12</f>
        <v>4667520</v>
      </c>
      <c r="AD27" s="13">
        <f>PortfolioData[[#This Row],[Potential_Revenue]]-PortfolioData[[#This Row],[Gross_Rental_Income]]</f>
        <v>758472</v>
      </c>
      <c r="AE27" s="3">
        <f>IFERROR(PortfolioData[[#This Row],[Vacancy_Loss]]/PortfolioData[[#This Row],[Potential_Revenue]],0)</f>
        <v>0.16250000000000001</v>
      </c>
      <c r="AF27" s="17">
        <f xml:space="preserve"> (PortfolioData[[#This Row],[Vacancy_%]] * 0.4) + (PortfolioData[[#This Row],[Debt_Ratio]] * 0.3) + (PortfolioData[[#This Row],[Interest_Rate]]/100 * 0.3)</f>
        <v>0.40996413370207779</v>
      </c>
    </row>
    <row r="28" spans="1:32" x14ac:dyDescent="0.3">
      <c r="A28" t="s">
        <v>56</v>
      </c>
      <c r="B28" t="s">
        <v>27</v>
      </c>
      <c r="C28" t="s">
        <v>23</v>
      </c>
      <c r="D28">
        <v>2021</v>
      </c>
      <c r="E28">
        <v>9823711</v>
      </c>
      <c r="F28">
        <v>12396860.949999999</v>
      </c>
      <c r="G28">
        <v>37</v>
      </c>
      <c r="H28">
        <v>32</v>
      </c>
      <c r="I28">
        <v>5368</v>
      </c>
      <c r="J28">
        <v>889428</v>
      </c>
      <c r="K28">
        <v>327675</v>
      </c>
      <c r="L28">
        <v>14159549</v>
      </c>
      <c r="M28">
        <v>4.33</v>
      </c>
      <c r="N28" t="s">
        <v>24</v>
      </c>
      <c r="O28" s="5">
        <f>PortfolioData[[#This Row],[Occupied_Units]]*PortfolioData[[#This Row],[Avg_Rent_per_Unit]]*12</f>
        <v>2061312</v>
      </c>
      <c r="P28" s="3">
        <f>1-(PortfolioData[[#This Row],[Occupied_Units]]/PortfolioData[[#This Row],[Units]])</f>
        <v>0.13513513513513509</v>
      </c>
      <c r="Q28" s="5">
        <f>PortfolioData[[#This Row],[Gross_Rental_Income]] - PortfolioData[[#This Row],[Operating_Cost]] - PortfolioData[[#This Row],[Maintenance_Cost]]</f>
        <v>844209</v>
      </c>
      <c r="R28" s="5">
        <f>PortfolioData[[#This Row],[Adjusted_Debt_Outstanding]]*(PortfolioData[[#This Row],[Interest_Rate]]/100)</f>
        <v>429427.26330799999</v>
      </c>
      <c r="S28" s="5">
        <f>MIN(PortfolioData[[#This Row],[Debt_Outstanding]], PortfolioData[[#This Row],[Current_Value]]*0.8)</f>
        <v>9917488.7599999998</v>
      </c>
      <c r="T28" s="5">
        <f>PortfolioData[[#This Row],[Net Operating Income (NOI)]]/PortfolioData[[#This Row],[Annual_Debt_Service]]</f>
        <v>1.9658952100451625</v>
      </c>
      <c r="U28" s="5">
        <f>PortfolioData[[#This Row],[Net Operating Income (NOI)]]-PortfolioData[[#This Row],[Annual_Debt_Service]]</f>
        <v>414781.73669200001</v>
      </c>
      <c r="V28" s="5">
        <f>PortfolioData[[#This Row],[Net Operating Income (NOI)]]</f>
        <v>844209</v>
      </c>
      <c r="W28" s="3">
        <f>PortfolioData[[#This Row],[Gross_Rental_Income]] / PortfolioData[[#This Row],[Purchase_Price]]</f>
        <v>0.20983027696967063</v>
      </c>
      <c r="X28" s="3">
        <f>PortfolioData[[#This Row],[Net Operating Income (NOI)]]/PortfolioData[[#This Row],[Current_Value]]</f>
        <v>6.8098610075964433E-2</v>
      </c>
      <c r="Y28" s="3">
        <f>(PortfolioData[[#This Row],[Current_Value]]-PortfolioData[[#This Row],[Purchase_Price]]+PortfolioData[[#This Row],[Net Operating Income (NOI)]]) / PortfolioData[[#This Row],[Purchase_Price]]</f>
        <v>0.34786843281525681</v>
      </c>
      <c r="Z28" s="5">
        <f>_xlfn.PERCENTRANK.INC(PortfolioData[ROI],PortfolioData[[#This Row],[ROI]])</f>
        <v>0.77800000000000002</v>
      </c>
      <c r="AA28" s="3" t="str">
        <f>IF(PortfolioData[[#This Row],[ROI_Percentile]]&lt;=0.1,"Underperforming","Healthy")</f>
        <v>Healthy</v>
      </c>
      <c r="AB28" s="3">
        <f>PortfolioData[[#This Row],[Debt_Outstanding]]/PortfolioData[[#This Row],[Current_Value]]</f>
        <v>1.1421882569393504</v>
      </c>
      <c r="AC28">
        <f>PortfolioData[[#This Row],[Units]]*PortfolioData[[#This Row],[Avg_Rent_per_Unit]]*12</f>
        <v>2383392</v>
      </c>
      <c r="AD28" s="13">
        <f>PortfolioData[[#This Row],[Potential_Revenue]]-PortfolioData[[#This Row],[Gross_Rental_Income]]</f>
        <v>322080</v>
      </c>
      <c r="AE28" s="3">
        <f>IFERROR(PortfolioData[[#This Row],[Vacancy_Loss]]/PortfolioData[[#This Row],[Potential_Revenue]],0)</f>
        <v>0.13513513513513514</v>
      </c>
      <c r="AF28" s="17">
        <f xml:space="preserve"> (PortfolioData[[#This Row],[Vacancy_%]] * 0.4) + (PortfolioData[[#This Row],[Debt_Ratio]] * 0.3) + (PortfolioData[[#This Row],[Interest_Rate]]/100 * 0.3)</f>
        <v>0.40970053113585919</v>
      </c>
    </row>
    <row r="29" spans="1:32" x14ac:dyDescent="0.3">
      <c r="A29" t="s">
        <v>44</v>
      </c>
      <c r="B29" t="s">
        <v>19</v>
      </c>
      <c r="C29" t="s">
        <v>30</v>
      </c>
      <c r="D29">
        <v>2015</v>
      </c>
      <c r="E29">
        <v>12853968</v>
      </c>
      <c r="F29">
        <v>11880073.08</v>
      </c>
      <c r="G29">
        <v>70</v>
      </c>
      <c r="H29">
        <v>63</v>
      </c>
      <c r="I29">
        <v>1857</v>
      </c>
      <c r="J29">
        <v>200614</v>
      </c>
      <c r="K29">
        <v>121391</v>
      </c>
      <c r="L29">
        <v>13569156</v>
      </c>
      <c r="M29">
        <v>5</v>
      </c>
      <c r="N29" t="s">
        <v>17</v>
      </c>
      <c r="O29" s="5">
        <f>PortfolioData[[#This Row],[Occupied_Units]]*PortfolioData[[#This Row],[Avg_Rent_per_Unit]]*12</f>
        <v>1403892</v>
      </c>
      <c r="P29" s="3">
        <f>1-(PortfolioData[[#This Row],[Occupied_Units]]/PortfolioData[[#This Row],[Units]])</f>
        <v>9.9999999999999978E-2</v>
      </c>
      <c r="Q29" s="5">
        <f>PortfolioData[[#This Row],[Gross_Rental_Income]] - PortfolioData[[#This Row],[Operating_Cost]] - PortfolioData[[#This Row],[Maintenance_Cost]]</f>
        <v>1081887</v>
      </c>
      <c r="R29" s="5">
        <f>PortfolioData[[#This Row],[Adjusted_Debt_Outstanding]]*(PortfolioData[[#This Row],[Interest_Rate]]/100)</f>
        <v>475202.92320000002</v>
      </c>
      <c r="S29" s="5">
        <f>MIN(PortfolioData[[#This Row],[Debt_Outstanding]], PortfolioData[[#This Row],[Current_Value]]*0.8)</f>
        <v>9504058.4639999997</v>
      </c>
      <c r="T29" s="5">
        <f>PortfolioData[[#This Row],[Net Operating Income (NOI)]]/PortfolioData[[#This Row],[Annual_Debt_Service]]</f>
        <v>2.2766842272657128</v>
      </c>
      <c r="U29" s="5">
        <f>PortfolioData[[#This Row],[Net Operating Income (NOI)]]-PortfolioData[[#This Row],[Annual_Debt_Service]]</f>
        <v>606684.07679999992</v>
      </c>
      <c r="V29" s="5">
        <f>PortfolioData[[#This Row],[Net Operating Income (NOI)]]</f>
        <v>1081887</v>
      </c>
      <c r="W29" s="3">
        <f>PortfolioData[[#This Row],[Gross_Rental_Income]] / PortfolioData[[#This Row],[Purchase_Price]]</f>
        <v>0.10921856970547927</v>
      </c>
      <c r="X29" s="3">
        <f>PortfolioData[[#This Row],[Net Operating Income (NOI)]]/PortfolioData[[#This Row],[Current_Value]]</f>
        <v>9.1067369090628528E-2</v>
      </c>
      <c r="Y29" s="3">
        <f>(PortfolioData[[#This Row],[Current_Value]]-PortfolioData[[#This Row],[Purchase_Price]]+PortfolioData[[#This Row],[Net Operating Income (NOI)]]) / PortfolioData[[#This Row],[Purchase_Price]]</f>
        <v>8.4014586001770093E-3</v>
      </c>
      <c r="Z29" s="5">
        <f>_xlfn.PERCENTRANK.INC(PortfolioData[ROI],PortfolioData[[#This Row],[ROI]])</f>
        <v>0.16700000000000001</v>
      </c>
      <c r="AA29" s="3" t="str">
        <f>IF(PortfolioData[[#This Row],[ROI_Percentile]]&lt;=0.1,"Underperforming","Healthy")</f>
        <v>Healthy</v>
      </c>
      <c r="AB29" s="3">
        <f>PortfolioData[[#This Row],[Debt_Outstanding]]/PortfolioData[[#This Row],[Current_Value]]</f>
        <v>1.1421778223606684</v>
      </c>
      <c r="AC29">
        <f>PortfolioData[[#This Row],[Units]]*PortfolioData[[#This Row],[Avg_Rent_per_Unit]]*12</f>
        <v>1559880</v>
      </c>
      <c r="AD29" s="13">
        <f>PortfolioData[[#This Row],[Potential_Revenue]]-PortfolioData[[#This Row],[Gross_Rental_Income]]</f>
        <v>155988</v>
      </c>
      <c r="AE29" s="3">
        <f>IFERROR(PortfolioData[[#This Row],[Vacancy_Loss]]/PortfolioData[[#This Row],[Potential_Revenue]],0)</f>
        <v>0.1</v>
      </c>
      <c r="AF29" s="17">
        <f xml:space="preserve"> (PortfolioData[[#This Row],[Vacancy_%]] * 0.4) + (PortfolioData[[#This Row],[Debt_Ratio]] * 0.3) + (PortfolioData[[#This Row],[Interest_Rate]]/100 * 0.3)</f>
        <v>0.39765334670820052</v>
      </c>
    </row>
    <row r="30" spans="1:32" x14ac:dyDescent="0.3">
      <c r="A30" t="s">
        <v>61</v>
      </c>
      <c r="B30" t="s">
        <v>19</v>
      </c>
      <c r="C30" t="s">
        <v>16</v>
      </c>
      <c r="D30">
        <v>2016</v>
      </c>
      <c r="E30">
        <v>9743914</v>
      </c>
      <c r="F30">
        <v>10744404.130000001</v>
      </c>
      <c r="G30">
        <v>33</v>
      </c>
      <c r="H30">
        <v>25</v>
      </c>
      <c r="I30">
        <v>5476</v>
      </c>
      <c r="J30">
        <v>419138</v>
      </c>
      <c r="K30">
        <v>189185</v>
      </c>
      <c r="L30">
        <v>10129004</v>
      </c>
      <c r="M30">
        <v>4.8</v>
      </c>
      <c r="N30" t="s">
        <v>17</v>
      </c>
      <c r="O30" s="5">
        <f>PortfolioData[[#This Row],[Occupied_Units]]*PortfolioData[[#This Row],[Avg_Rent_per_Unit]]*12</f>
        <v>1642800</v>
      </c>
      <c r="P30" s="3">
        <f>1-(PortfolioData[[#This Row],[Occupied_Units]]/PortfolioData[[#This Row],[Units]])</f>
        <v>0.24242424242424243</v>
      </c>
      <c r="Q30" s="5">
        <f>PortfolioData[[#This Row],[Gross_Rental_Income]] - PortfolioData[[#This Row],[Operating_Cost]] - PortfolioData[[#This Row],[Maintenance_Cost]]</f>
        <v>1034477</v>
      </c>
      <c r="R30" s="5">
        <f>PortfolioData[[#This Row],[Adjusted_Debt_Outstanding]]*(PortfolioData[[#This Row],[Interest_Rate]]/100)</f>
        <v>412585.1185920001</v>
      </c>
      <c r="S30" s="5">
        <f>MIN(PortfolioData[[#This Row],[Debt_Outstanding]], PortfolioData[[#This Row],[Current_Value]]*0.8)</f>
        <v>8595523.3040000014</v>
      </c>
      <c r="T30" s="5">
        <f>PortfolioData[[#This Row],[Net Operating Income (NOI)]]/PortfolioData[[#This Row],[Annual_Debt_Service]]</f>
        <v>2.5073056525409498</v>
      </c>
      <c r="U30" s="5">
        <f>PortfolioData[[#This Row],[Net Operating Income (NOI)]]-PortfolioData[[#This Row],[Annual_Debt_Service]]</f>
        <v>621891.8814079999</v>
      </c>
      <c r="V30" s="5">
        <f>PortfolioData[[#This Row],[Net Operating Income (NOI)]]</f>
        <v>1034477</v>
      </c>
      <c r="W30" s="3">
        <f>PortfolioData[[#This Row],[Gross_Rental_Income]] / PortfolioData[[#This Row],[Purchase_Price]]</f>
        <v>0.16859754714583894</v>
      </c>
      <c r="X30" s="3">
        <f>PortfolioData[[#This Row],[Net Operating Income (NOI)]]/PortfolioData[[#This Row],[Current_Value]]</f>
        <v>9.6280537057572488E-2</v>
      </c>
      <c r="Y30" s="3">
        <f>(PortfolioData[[#This Row],[Current_Value]]-PortfolioData[[#This Row],[Purchase_Price]]+PortfolioData[[#This Row],[Net Operating Income (NOI)]]) / PortfolioData[[#This Row],[Purchase_Price]]</f>
        <v>0.20884493951814442</v>
      </c>
      <c r="Z30" s="5">
        <f>_xlfn.PERCENTRANK.INC(PortfolioData[ROI],PortfolioData[[#This Row],[ROI]])</f>
        <v>0.46300000000000002</v>
      </c>
      <c r="AA30" s="3" t="str">
        <f>IF(PortfolioData[[#This Row],[ROI_Percentile]]&lt;=0.1,"Underperforming","Healthy")</f>
        <v>Healthy</v>
      </c>
      <c r="AB30" s="3">
        <f>PortfolioData[[#This Row],[Debt_Outstanding]]/PortfolioData[[#This Row],[Current_Value]]</f>
        <v>0.94272366130740459</v>
      </c>
      <c r="AC30">
        <f>PortfolioData[[#This Row],[Units]]*PortfolioData[[#This Row],[Avg_Rent_per_Unit]]*12</f>
        <v>2168496</v>
      </c>
      <c r="AD30" s="13">
        <f>PortfolioData[[#This Row],[Potential_Revenue]]-PortfolioData[[#This Row],[Gross_Rental_Income]]</f>
        <v>525696</v>
      </c>
      <c r="AE30" s="3">
        <f>IFERROR(PortfolioData[[#This Row],[Vacancy_Loss]]/PortfolioData[[#This Row],[Potential_Revenue]],0)</f>
        <v>0.24242424242424243</v>
      </c>
      <c r="AF30" s="17">
        <f xml:space="preserve"> (PortfolioData[[#This Row],[Vacancy_%]] * 0.4) + (PortfolioData[[#This Row],[Debt_Ratio]] * 0.3) + (PortfolioData[[#This Row],[Interest_Rate]]/100 * 0.3)</f>
        <v>0.39418679536191836</v>
      </c>
    </row>
    <row r="31" spans="1:32" x14ac:dyDescent="0.3">
      <c r="A31" t="s">
        <v>100</v>
      </c>
      <c r="B31" t="s">
        <v>22</v>
      </c>
      <c r="C31" t="s">
        <v>30</v>
      </c>
      <c r="D31">
        <v>2022</v>
      </c>
      <c r="E31">
        <v>6783384</v>
      </c>
      <c r="F31">
        <v>7466662.9299999997</v>
      </c>
      <c r="G31">
        <v>45</v>
      </c>
      <c r="H31">
        <v>44</v>
      </c>
      <c r="I31">
        <v>3056</v>
      </c>
      <c r="J31">
        <v>370657</v>
      </c>
      <c r="K31">
        <v>292775</v>
      </c>
      <c r="L31">
        <v>8795798</v>
      </c>
      <c r="M31">
        <v>6.47</v>
      </c>
      <c r="N31" t="s">
        <v>17</v>
      </c>
      <c r="O31" s="5">
        <f>PortfolioData[[#This Row],[Occupied_Units]]*PortfolioData[[#This Row],[Avg_Rent_per_Unit]]*12</f>
        <v>1613568</v>
      </c>
      <c r="P31" s="3">
        <f>1-(PortfolioData[[#This Row],[Occupied_Units]]/PortfolioData[[#This Row],[Units]])</f>
        <v>2.2222222222222254E-2</v>
      </c>
      <c r="Q31" s="5">
        <f>PortfolioData[[#This Row],[Gross_Rental_Income]] - PortfolioData[[#This Row],[Operating_Cost]] - PortfolioData[[#This Row],[Maintenance_Cost]]</f>
        <v>950136</v>
      </c>
      <c r="R31" s="5">
        <f>PortfolioData[[#This Row],[Adjusted_Debt_Outstanding]]*(PortfolioData[[#This Row],[Interest_Rate]]/100)</f>
        <v>386474.47325679997</v>
      </c>
      <c r="S31" s="5">
        <f>MIN(PortfolioData[[#This Row],[Debt_Outstanding]], PortfolioData[[#This Row],[Current_Value]]*0.8)</f>
        <v>5973330.3440000005</v>
      </c>
      <c r="T31" s="5">
        <f>PortfolioData[[#This Row],[Net Operating Income (NOI)]]/PortfolioData[[#This Row],[Annual_Debt_Service]]</f>
        <v>2.4584702632317579</v>
      </c>
      <c r="U31" s="5">
        <f>PortfolioData[[#This Row],[Net Operating Income (NOI)]]-PortfolioData[[#This Row],[Annual_Debt_Service]]</f>
        <v>563661.52674320003</v>
      </c>
      <c r="V31" s="5">
        <f>PortfolioData[[#This Row],[Net Operating Income (NOI)]]</f>
        <v>950136</v>
      </c>
      <c r="W31" s="3">
        <f>PortfolioData[[#This Row],[Gross_Rental_Income]] / PortfolioData[[#This Row],[Purchase_Price]]</f>
        <v>0.23787065570812443</v>
      </c>
      <c r="X31" s="3">
        <f>PortfolioData[[#This Row],[Net Operating Income (NOI)]]/PortfolioData[[#This Row],[Current_Value]]</f>
        <v>0.12725042082487578</v>
      </c>
      <c r="Y31" s="3">
        <f>(PortfolioData[[#This Row],[Current_Value]]-PortfolioData[[#This Row],[Purchase_Price]]+PortfolioData[[#This Row],[Net Operating Income (NOI)]]) / PortfolioData[[#This Row],[Purchase_Price]]</f>
        <v>0.24079647120080475</v>
      </c>
      <c r="Z31" s="5">
        <f>_xlfn.PERCENTRANK.INC(PortfolioData[ROI],PortfolioData[[#This Row],[ROI]])</f>
        <v>0.53600000000000003</v>
      </c>
      <c r="AA31" s="3" t="str">
        <f>IF(PortfolioData[[#This Row],[ROI_Percentile]]&lt;=0.1,"Underperforming","Healthy")</f>
        <v>Healthy</v>
      </c>
      <c r="AB31" s="3">
        <f>PortfolioData[[#This Row],[Debt_Outstanding]]/PortfolioData[[#This Row],[Current_Value]]</f>
        <v>1.1780092502448078</v>
      </c>
      <c r="AC31">
        <f>PortfolioData[[#This Row],[Units]]*PortfolioData[[#This Row],[Avg_Rent_per_Unit]]*12</f>
        <v>1650240</v>
      </c>
      <c r="AD31" s="13">
        <f>PortfolioData[[#This Row],[Potential_Revenue]]-PortfolioData[[#This Row],[Gross_Rental_Income]]</f>
        <v>36672</v>
      </c>
      <c r="AE31" s="3">
        <f>IFERROR(PortfolioData[[#This Row],[Vacancy_Loss]]/PortfolioData[[#This Row],[Potential_Revenue]],0)</f>
        <v>2.2222222222222223E-2</v>
      </c>
      <c r="AF31" s="17">
        <f xml:space="preserve"> (PortfolioData[[#This Row],[Vacancy_%]] * 0.4) + (PortfolioData[[#This Row],[Debt_Ratio]] * 0.3) + (PortfolioData[[#This Row],[Interest_Rate]]/100 * 0.3)</f>
        <v>0.38170166396233124</v>
      </c>
    </row>
    <row r="32" spans="1:32" x14ac:dyDescent="0.3">
      <c r="A32" t="s">
        <v>83</v>
      </c>
      <c r="B32" t="s">
        <v>15</v>
      </c>
      <c r="C32" t="s">
        <v>30</v>
      </c>
      <c r="D32">
        <v>2010</v>
      </c>
      <c r="E32">
        <v>14112132</v>
      </c>
      <c r="F32">
        <v>15086928.84</v>
      </c>
      <c r="G32">
        <v>58</v>
      </c>
      <c r="H32">
        <v>40</v>
      </c>
      <c r="I32">
        <v>1806</v>
      </c>
      <c r="J32">
        <v>236601</v>
      </c>
      <c r="K32">
        <v>365768</v>
      </c>
      <c r="L32">
        <v>12024939</v>
      </c>
      <c r="M32">
        <v>5.6</v>
      </c>
      <c r="N32" t="s">
        <v>24</v>
      </c>
      <c r="O32" s="5">
        <f>PortfolioData[[#This Row],[Occupied_Units]]*PortfolioData[[#This Row],[Avg_Rent_per_Unit]]*12</f>
        <v>866880</v>
      </c>
      <c r="P32" s="3">
        <f>1-(PortfolioData[[#This Row],[Occupied_Units]]/PortfolioData[[#This Row],[Units]])</f>
        <v>0.31034482758620685</v>
      </c>
      <c r="Q32" s="5">
        <f>PortfolioData[[#This Row],[Gross_Rental_Income]] - PortfolioData[[#This Row],[Operating_Cost]] - PortfolioData[[#This Row],[Maintenance_Cost]]</f>
        <v>264511</v>
      </c>
      <c r="R32" s="5">
        <f>PortfolioData[[#This Row],[Adjusted_Debt_Outstanding]]*(PortfolioData[[#This Row],[Interest_Rate]]/100)</f>
        <v>673396.58399999992</v>
      </c>
      <c r="S32" s="5">
        <f>MIN(PortfolioData[[#This Row],[Debt_Outstanding]], PortfolioData[[#This Row],[Current_Value]]*0.8)</f>
        <v>12024939</v>
      </c>
      <c r="T32" s="5">
        <f>PortfolioData[[#This Row],[Net Operating Income (NOI)]]/PortfolioData[[#This Row],[Annual_Debt_Service]]</f>
        <v>0.39280122038753917</v>
      </c>
      <c r="U32" s="5">
        <f>PortfolioData[[#This Row],[Net Operating Income (NOI)]]-PortfolioData[[#This Row],[Annual_Debt_Service]]</f>
        <v>-408885.58399999992</v>
      </c>
      <c r="V32" s="5">
        <f>PortfolioData[[#This Row],[Net Operating Income (NOI)]]</f>
        <v>264511</v>
      </c>
      <c r="W32" s="3">
        <f>PortfolioData[[#This Row],[Gross_Rental_Income]] / PortfolioData[[#This Row],[Purchase_Price]]</f>
        <v>6.1427996846968265E-2</v>
      </c>
      <c r="X32" s="3">
        <f>PortfolioData[[#This Row],[Net Operating Income (NOI)]]/PortfolioData[[#This Row],[Current_Value]]</f>
        <v>1.7532461563595472E-2</v>
      </c>
      <c r="Y32" s="3">
        <f>(PortfolioData[[#This Row],[Current_Value]]-PortfolioData[[#This Row],[Purchase_Price]]+PortfolioData[[#This Row],[Net Operating Income (NOI)]]) / PortfolioData[[#This Row],[Purchase_Price]]</f>
        <v>8.7818611673983762E-2</v>
      </c>
      <c r="Z32" s="5">
        <f>_xlfn.PERCENTRANK.INC(PortfolioData[ROI],PortfolioData[[#This Row],[ROI]])</f>
        <v>0.308</v>
      </c>
      <c r="AA32" s="3" t="str">
        <f>IF(PortfolioData[[#This Row],[ROI_Percentile]]&lt;=0.1,"Underperforming","Healthy")</f>
        <v>Healthy</v>
      </c>
      <c r="AB32" s="3">
        <f>PortfolioData[[#This Row],[Debt_Outstanding]]/PortfolioData[[#This Row],[Current_Value]]</f>
        <v>0.79704352870799389</v>
      </c>
      <c r="AC32">
        <f>PortfolioData[[#This Row],[Units]]*PortfolioData[[#This Row],[Avg_Rent_per_Unit]]*12</f>
        <v>1256976</v>
      </c>
      <c r="AD32" s="13">
        <f>PortfolioData[[#This Row],[Potential_Revenue]]-PortfolioData[[#This Row],[Gross_Rental_Income]]</f>
        <v>390096</v>
      </c>
      <c r="AE32" s="3">
        <f>IFERROR(PortfolioData[[#This Row],[Vacancy_Loss]]/PortfolioData[[#This Row],[Potential_Revenue]],0)</f>
        <v>0.31034482758620691</v>
      </c>
      <c r="AF32" s="17">
        <f xml:space="preserve"> (PortfolioData[[#This Row],[Vacancy_%]] * 0.4) + (PortfolioData[[#This Row],[Debt_Ratio]] * 0.3) + (PortfolioData[[#This Row],[Interest_Rate]]/100 * 0.3)</f>
        <v>0.38005098964688089</v>
      </c>
    </row>
    <row r="33" spans="1:32" x14ac:dyDescent="0.3">
      <c r="A33" t="s">
        <v>130</v>
      </c>
      <c r="B33" t="s">
        <v>19</v>
      </c>
      <c r="C33" t="s">
        <v>20</v>
      </c>
      <c r="D33">
        <v>2012</v>
      </c>
      <c r="E33">
        <v>7052398</v>
      </c>
      <c r="F33">
        <v>8390238.9199999999</v>
      </c>
      <c r="G33">
        <v>68</v>
      </c>
      <c r="H33">
        <v>64</v>
      </c>
      <c r="I33">
        <v>4705</v>
      </c>
      <c r="J33">
        <v>343709</v>
      </c>
      <c r="K33">
        <v>113500</v>
      </c>
      <c r="L33">
        <v>9611570</v>
      </c>
      <c r="M33">
        <v>4.08</v>
      </c>
      <c r="N33" t="s">
        <v>24</v>
      </c>
      <c r="O33" s="5">
        <f>PortfolioData[[#This Row],[Occupied_Units]]*PortfolioData[[#This Row],[Avg_Rent_per_Unit]]*12</f>
        <v>3613440</v>
      </c>
      <c r="P33" s="3">
        <f>1-(PortfolioData[[#This Row],[Occupied_Units]]/PortfolioData[[#This Row],[Units]])</f>
        <v>5.8823529411764719E-2</v>
      </c>
      <c r="Q33" s="5">
        <f>PortfolioData[[#This Row],[Gross_Rental_Income]] - PortfolioData[[#This Row],[Operating_Cost]] - PortfolioData[[#This Row],[Maintenance_Cost]]</f>
        <v>3156231</v>
      </c>
      <c r="R33" s="5">
        <f>PortfolioData[[#This Row],[Adjusted_Debt_Outstanding]]*(PortfolioData[[#This Row],[Interest_Rate]]/100)</f>
        <v>273857.39834880002</v>
      </c>
      <c r="S33" s="5">
        <f>MIN(PortfolioData[[#This Row],[Debt_Outstanding]], PortfolioData[[#This Row],[Current_Value]]*0.8)</f>
        <v>6712191.1359999999</v>
      </c>
      <c r="T33" s="5">
        <f>PortfolioData[[#This Row],[Net Operating Income (NOI)]]/PortfolioData[[#This Row],[Annual_Debt_Service]]</f>
        <v>11.525089404303946</v>
      </c>
      <c r="U33" s="5">
        <f>PortfolioData[[#This Row],[Net Operating Income (NOI)]]-PortfolioData[[#This Row],[Annual_Debt_Service]]</f>
        <v>2882373.6016512001</v>
      </c>
      <c r="V33" s="5">
        <f>PortfolioData[[#This Row],[Net Operating Income (NOI)]]</f>
        <v>3156231</v>
      </c>
      <c r="W33" s="3">
        <f>PortfolioData[[#This Row],[Gross_Rental_Income]] / PortfolioData[[#This Row],[Purchase_Price]]</f>
        <v>0.51237040223765018</v>
      </c>
      <c r="X33" s="3">
        <f>PortfolioData[[#This Row],[Net Operating Income (NOI)]]/PortfolioData[[#This Row],[Current_Value]]</f>
        <v>0.3761789181564808</v>
      </c>
      <c r="Y33" s="3">
        <f>(PortfolioData[[#This Row],[Current_Value]]-PortfolioData[[#This Row],[Purchase_Price]]+PortfolioData[[#This Row],[Net Operating Income (NOI)]]) / PortfolioData[[#This Row],[Purchase_Price]]</f>
        <v>0.63724025785271898</v>
      </c>
      <c r="Z33" s="5">
        <f>_xlfn.PERCENTRANK.INC(PortfolioData[ROI],PortfolioData[[#This Row],[ROI]])</f>
        <v>0.98599999999999999</v>
      </c>
      <c r="AA33" s="3" t="str">
        <f>IF(PortfolioData[[#This Row],[ROI_Percentile]]&lt;=0.1,"Underperforming","Healthy")</f>
        <v>Healthy</v>
      </c>
      <c r="AB33" s="3">
        <f>PortfolioData[[#This Row],[Debt_Outstanding]]/PortfolioData[[#This Row],[Current_Value]]</f>
        <v>1.1455657093493115</v>
      </c>
      <c r="AC33">
        <f>PortfolioData[[#This Row],[Units]]*PortfolioData[[#This Row],[Avg_Rent_per_Unit]]*12</f>
        <v>3839280</v>
      </c>
      <c r="AD33" s="13">
        <f>PortfolioData[[#This Row],[Potential_Revenue]]-PortfolioData[[#This Row],[Gross_Rental_Income]]</f>
        <v>225840</v>
      </c>
      <c r="AE33" s="3">
        <f>IFERROR(PortfolioData[[#This Row],[Vacancy_Loss]]/PortfolioData[[#This Row],[Potential_Revenue]],0)</f>
        <v>5.8823529411764705E-2</v>
      </c>
      <c r="AF33" s="17">
        <f xml:space="preserve"> (PortfolioData[[#This Row],[Vacancy_%]] * 0.4) + (PortfolioData[[#This Row],[Debt_Ratio]] * 0.3) + (PortfolioData[[#This Row],[Interest_Rate]]/100 * 0.3)</f>
        <v>0.37943912456949935</v>
      </c>
    </row>
    <row r="34" spans="1:32" x14ac:dyDescent="0.3">
      <c r="A34" t="s">
        <v>152</v>
      </c>
      <c r="B34" t="s">
        <v>15</v>
      </c>
      <c r="C34" t="s">
        <v>16</v>
      </c>
      <c r="D34">
        <v>2021</v>
      </c>
      <c r="E34">
        <v>14562720</v>
      </c>
      <c r="F34">
        <v>16290353.35</v>
      </c>
      <c r="G34">
        <v>65</v>
      </c>
      <c r="H34">
        <v>48</v>
      </c>
      <c r="I34">
        <v>5954</v>
      </c>
      <c r="J34">
        <v>584873</v>
      </c>
      <c r="K34">
        <v>357730</v>
      </c>
      <c r="L34">
        <v>12907155</v>
      </c>
      <c r="M34">
        <v>7.23</v>
      </c>
      <c r="N34" t="s">
        <v>24</v>
      </c>
      <c r="O34" s="5">
        <f>PortfolioData[[#This Row],[Occupied_Units]]*PortfolioData[[#This Row],[Avg_Rent_per_Unit]]*12</f>
        <v>3429504</v>
      </c>
      <c r="P34" s="3">
        <f>1-(PortfolioData[[#This Row],[Occupied_Units]]/PortfolioData[[#This Row],[Units]])</f>
        <v>0.2615384615384615</v>
      </c>
      <c r="Q34" s="5">
        <f>PortfolioData[[#This Row],[Gross_Rental_Income]] - PortfolioData[[#This Row],[Operating_Cost]] - PortfolioData[[#This Row],[Maintenance_Cost]]</f>
        <v>2486901</v>
      </c>
      <c r="R34" s="5">
        <f>PortfolioData[[#This Row],[Adjusted_Debt_Outstanding]]*(PortfolioData[[#This Row],[Interest_Rate]]/100)</f>
        <v>933187.30650000006</v>
      </c>
      <c r="S34" s="5">
        <f>MIN(PortfolioData[[#This Row],[Debt_Outstanding]], PortfolioData[[#This Row],[Current_Value]]*0.8)</f>
        <v>12907155</v>
      </c>
      <c r="T34" s="5">
        <f>PortfolioData[[#This Row],[Net Operating Income (NOI)]]/PortfolioData[[#This Row],[Annual_Debt_Service]]</f>
        <v>2.6649537372377448</v>
      </c>
      <c r="U34" s="5">
        <f>PortfolioData[[#This Row],[Net Operating Income (NOI)]]-PortfolioData[[#This Row],[Annual_Debt_Service]]</f>
        <v>1553713.6935000001</v>
      </c>
      <c r="V34" s="5">
        <f>PortfolioData[[#This Row],[Net Operating Income (NOI)]]</f>
        <v>2486901</v>
      </c>
      <c r="W34" s="3">
        <f>PortfolioData[[#This Row],[Gross_Rental_Income]] / PortfolioData[[#This Row],[Purchase_Price]]</f>
        <v>0.23549886284979729</v>
      </c>
      <c r="X34" s="3">
        <f>PortfolioData[[#This Row],[Net Operating Income (NOI)]]/PortfolioData[[#This Row],[Current_Value]]</f>
        <v>0.15266096115711328</v>
      </c>
      <c r="Y34" s="3">
        <f>(PortfolioData[[#This Row],[Current_Value]]-PortfolioData[[#This Row],[Purchase_Price]]+PortfolioData[[#This Row],[Net Operating Income (NOI)]]) / PortfolioData[[#This Row],[Purchase_Price]]</f>
        <v>0.28940571198237691</v>
      </c>
      <c r="Z34" s="5">
        <f>_xlfn.PERCENTRANK.INC(PortfolioData[ROI],PortfolioData[[#This Row],[ROI]])</f>
        <v>0.65100000000000002</v>
      </c>
      <c r="AA34" s="3" t="str">
        <f>IF(PortfolioData[[#This Row],[ROI_Percentile]]&lt;=0.1,"Underperforming","Healthy")</f>
        <v>Healthy</v>
      </c>
      <c r="AB34" s="3">
        <f>PortfolioData[[#This Row],[Debt_Outstanding]]/PortfolioData[[#This Row],[Current_Value]]</f>
        <v>0.79231890939922434</v>
      </c>
      <c r="AC34">
        <f>PortfolioData[[#This Row],[Units]]*PortfolioData[[#This Row],[Avg_Rent_per_Unit]]*12</f>
        <v>4644120</v>
      </c>
      <c r="AD34" s="13">
        <f>PortfolioData[[#This Row],[Potential_Revenue]]-PortfolioData[[#This Row],[Gross_Rental_Income]]</f>
        <v>1214616</v>
      </c>
      <c r="AE34" s="3">
        <f>IFERROR(PortfolioData[[#This Row],[Vacancy_Loss]]/PortfolioData[[#This Row],[Potential_Revenue]],0)</f>
        <v>0.26153846153846155</v>
      </c>
      <c r="AF34" s="17">
        <f xml:space="preserve"> (PortfolioData[[#This Row],[Vacancy_%]] * 0.4) + (PortfolioData[[#This Row],[Debt_Ratio]] * 0.3) + (PortfolioData[[#This Row],[Interest_Rate]]/100 * 0.3)</f>
        <v>0.36400105743515188</v>
      </c>
    </row>
    <row r="35" spans="1:32" x14ac:dyDescent="0.3">
      <c r="A35" t="s">
        <v>76</v>
      </c>
      <c r="B35" t="s">
        <v>35</v>
      </c>
      <c r="C35" t="s">
        <v>30</v>
      </c>
      <c r="D35">
        <v>2014</v>
      </c>
      <c r="E35">
        <v>6039364</v>
      </c>
      <c r="F35">
        <v>8339446.4299999997</v>
      </c>
      <c r="G35">
        <v>38</v>
      </c>
      <c r="H35">
        <v>31</v>
      </c>
      <c r="I35">
        <v>3658</v>
      </c>
      <c r="J35">
        <v>202644</v>
      </c>
      <c r="K35">
        <v>484884</v>
      </c>
      <c r="L35">
        <v>7489436</v>
      </c>
      <c r="M35">
        <v>6.78</v>
      </c>
      <c r="N35" t="s">
        <v>24</v>
      </c>
      <c r="O35" s="5">
        <f>PortfolioData[[#This Row],[Occupied_Units]]*PortfolioData[[#This Row],[Avg_Rent_per_Unit]]*12</f>
        <v>1360776</v>
      </c>
      <c r="P35" s="3">
        <f>1-(PortfolioData[[#This Row],[Occupied_Units]]/PortfolioData[[#This Row],[Units]])</f>
        <v>0.18421052631578949</v>
      </c>
      <c r="Q35" s="5">
        <f>PortfolioData[[#This Row],[Gross_Rental_Income]] - PortfolioData[[#This Row],[Operating_Cost]] - PortfolioData[[#This Row],[Maintenance_Cost]]</f>
        <v>673248</v>
      </c>
      <c r="R35" s="5">
        <f>PortfolioData[[#This Row],[Adjusted_Debt_Outstanding]]*(PortfolioData[[#This Row],[Interest_Rate]]/100)</f>
        <v>452331.57436319999</v>
      </c>
      <c r="S35" s="5">
        <f>MIN(PortfolioData[[#This Row],[Debt_Outstanding]], PortfolioData[[#This Row],[Current_Value]]*0.8)</f>
        <v>6671557.1440000003</v>
      </c>
      <c r="T35" s="5">
        <f>PortfolioData[[#This Row],[Net Operating Income (NOI)]]/PortfolioData[[#This Row],[Annual_Debt_Service]]</f>
        <v>1.4883948814491004</v>
      </c>
      <c r="U35" s="5">
        <f>PortfolioData[[#This Row],[Net Operating Income (NOI)]]-PortfolioData[[#This Row],[Annual_Debt_Service]]</f>
        <v>220916.42563680001</v>
      </c>
      <c r="V35" s="5">
        <f>PortfolioData[[#This Row],[Net Operating Income (NOI)]]</f>
        <v>673248</v>
      </c>
      <c r="W35" s="3">
        <f>PortfolioData[[#This Row],[Gross_Rental_Income]] / PortfolioData[[#This Row],[Purchase_Price]]</f>
        <v>0.22531776524812877</v>
      </c>
      <c r="X35" s="3">
        <f>PortfolioData[[#This Row],[Net Operating Income (NOI)]]/PortfolioData[[#This Row],[Current_Value]]</f>
        <v>8.073053836979921E-2</v>
      </c>
      <c r="Y35" s="3">
        <f>(PortfolioData[[#This Row],[Current_Value]]-PortfolioData[[#This Row],[Purchase_Price]]+PortfolioData[[#This Row],[Net Operating Income (NOI)]]) / PortfolioData[[#This Row],[Purchase_Price]]</f>
        <v>0.49232509085393755</v>
      </c>
      <c r="Z35" s="5">
        <f>_xlfn.PERCENTRANK.INC(PortfolioData[ROI],PortfolioData[[#This Row],[ROI]])</f>
        <v>0.95299999999999996</v>
      </c>
      <c r="AA35" s="3" t="str">
        <f>IF(PortfolioData[[#This Row],[ROI_Percentile]]&lt;=0.1,"Underperforming","Healthy")</f>
        <v>Healthy</v>
      </c>
      <c r="AB35" s="3">
        <f>PortfolioData[[#This Row],[Debt_Outstanding]]/PortfolioData[[#This Row],[Current_Value]]</f>
        <v>0.89807351877191688</v>
      </c>
      <c r="AC35">
        <f>PortfolioData[[#This Row],[Units]]*PortfolioData[[#This Row],[Avg_Rent_per_Unit]]*12</f>
        <v>1668048</v>
      </c>
      <c r="AD35" s="13">
        <f>PortfolioData[[#This Row],[Potential_Revenue]]-PortfolioData[[#This Row],[Gross_Rental_Income]]</f>
        <v>307272</v>
      </c>
      <c r="AE35" s="3">
        <f>IFERROR(PortfolioData[[#This Row],[Vacancy_Loss]]/PortfolioData[[#This Row],[Potential_Revenue]],0)</f>
        <v>0.18421052631578946</v>
      </c>
      <c r="AF35" s="17">
        <f xml:space="preserve"> (PortfolioData[[#This Row],[Vacancy_%]] * 0.4) + (PortfolioData[[#This Row],[Debt_Ratio]] * 0.3) + (PortfolioData[[#This Row],[Interest_Rate]]/100 * 0.3)</f>
        <v>0.36344626615789088</v>
      </c>
    </row>
    <row r="36" spans="1:32" x14ac:dyDescent="0.3">
      <c r="A36" t="s">
        <v>121</v>
      </c>
      <c r="B36" t="s">
        <v>22</v>
      </c>
      <c r="C36" t="s">
        <v>20</v>
      </c>
      <c r="D36">
        <v>2011</v>
      </c>
      <c r="E36">
        <v>7552416</v>
      </c>
      <c r="F36">
        <v>6801429.3700000001</v>
      </c>
      <c r="G36">
        <v>40</v>
      </c>
      <c r="H36">
        <v>34</v>
      </c>
      <c r="I36">
        <v>1649</v>
      </c>
      <c r="J36">
        <v>432469</v>
      </c>
      <c r="K36">
        <v>321288</v>
      </c>
      <c r="L36">
        <v>6475298</v>
      </c>
      <c r="M36">
        <v>4.1500000000000004</v>
      </c>
      <c r="N36" t="s">
        <v>24</v>
      </c>
      <c r="O36" s="5">
        <f>PortfolioData[[#This Row],[Occupied_Units]]*PortfolioData[[#This Row],[Avg_Rent_per_Unit]]*12</f>
        <v>672792</v>
      </c>
      <c r="P36" s="3">
        <f>1-(PortfolioData[[#This Row],[Occupied_Units]]/PortfolioData[[#This Row],[Units]])</f>
        <v>0.15000000000000002</v>
      </c>
      <c r="Q36" s="5">
        <f>PortfolioData[[#This Row],[Gross_Rental_Income]] - PortfolioData[[#This Row],[Operating_Cost]] - PortfolioData[[#This Row],[Maintenance_Cost]]</f>
        <v>-80965</v>
      </c>
      <c r="R36" s="5">
        <f>PortfolioData[[#This Row],[Adjusted_Debt_Outstanding]]*(PortfolioData[[#This Row],[Interest_Rate]]/100)</f>
        <v>225807.45508400002</v>
      </c>
      <c r="S36" s="5">
        <f>MIN(PortfolioData[[#This Row],[Debt_Outstanding]], PortfolioData[[#This Row],[Current_Value]]*0.8)</f>
        <v>5441143.4960000003</v>
      </c>
      <c r="T36" s="5">
        <f>PortfolioData[[#This Row],[Net Operating Income (NOI)]]/PortfolioData[[#This Row],[Annual_Debt_Service]]</f>
        <v>-0.35855769230418522</v>
      </c>
      <c r="U36" s="5">
        <f>PortfolioData[[#This Row],[Net Operating Income (NOI)]]-PortfolioData[[#This Row],[Annual_Debt_Service]]</f>
        <v>-306772.45508400002</v>
      </c>
      <c r="V36" s="5">
        <f>PortfolioData[[#This Row],[Net Operating Income (NOI)]]</f>
        <v>-80965</v>
      </c>
      <c r="W36" s="3">
        <f>PortfolioData[[#This Row],[Gross_Rental_Income]] / PortfolioData[[#This Row],[Purchase_Price]]</f>
        <v>8.9083016613491633E-2</v>
      </c>
      <c r="X36" s="3">
        <f>PortfolioData[[#This Row],[Net Operating Income (NOI)]]/PortfolioData[[#This Row],[Current_Value]]</f>
        <v>-1.190411538449895E-2</v>
      </c>
      <c r="Y36" s="3">
        <f>(PortfolioData[[#This Row],[Current_Value]]-PortfolioData[[#This Row],[Purchase_Price]]+PortfolioData[[#This Row],[Net Operating Income (NOI)]]) / PortfolioData[[#This Row],[Purchase_Price]]</f>
        <v>-0.11015701862821115</v>
      </c>
      <c r="Z36" s="5">
        <f>_xlfn.PERCENTRANK.INC(PortfolioData[ROI],PortfolioData[[#This Row],[ROI]])</f>
        <v>1.2999999999999999E-2</v>
      </c>
      <c r="AA36" s="3" t="str">
        <f>IF(PortfolioData[[#This Row],[ROI_Percentile]]&lt;=0.1,"Underperforming","Healthy")</f>
        <v>Underperforming</v>
      </c>
      <c r="AB36" s="3">
        <f>PortfolioData[[#This Row],[Debt_Outstanding]]/PortfolioData[[#This Row],[Current_Value]]</f>
        <v>0.95204958365979475</v>
      </c>
      <c r="AC36">
        <f>PortfolioData[[#This Row],[Units]]*PortfolioData[[#This Row],[Avg_Rent_per_Unit]]*12</f>
        <v>791520</v>
      </c>
      <c r="AD36" s="13">
        <f>PortfolioData[[#This Row],[Potential_Revenue]]-PortfolioData[[#This Row],[Gross_Rental_Income]]</f>
        <v>118728</v>
      </c>
      <c r="AE36" s="3">
        <f>IFERROR(PortfolioData[[#This Row],[Vacancy_Loss]]/PortfolioData[[#This Row],[Potential_Revenue]],0)</f>
        <v>0.15</v>
      </c>
      <c r="AF36" s="17">
        <f xml:space="preserve"> (PortfolioData[[#This Row],[Vacancy_%]] * 0.4) + (PortfolioData[[#This Row],[Debt_Ratio]] * 0.3) + (PortfolioData[[#This Row],[Interest_Rate]]/100 * 0.3)</f>
        <v>0.35806487509793844</v>
      </c>
    </row>
    <row r="37" spans="1:32" x14ac:dyDescent="0.3">
      <c r="A37" t="s">
        <v>57</v>
      </c>
      <c r="B37" t="s">
        <v>27</v>
      </c>
      <c r="C37" t="s">
        <v>20</v>
      </c>
      <c r="D37">
        <v>2022</v>
      </c>
      <c r="E37">
        <v>14140108</v>
      </c>
      <c r="F37">
        <v>13120887.880000001</v>
      </c>
      <c r="G37">
        <v>28</v>
      </c>
      <c r="H37">
        <v>21</v>
      </c>
      <c r="I37">
        <v>4945</v>
      </c>
      <c r="J37">
        <v>481498</v>
      </c>
      <c r="K37">
        <v>336564</v>
      </c>
      <c r="L37">
        <v>10195631</v>
      </c>
      <c r="M37">
        <v>5.23</v>
      </c>
      <c r="N37" t="s">
        <v>17</v>
      </c>
      <c r="O37" s="5">
        <f>PortfolioData[[#This Row],[Occupied_Units]]*PortfolioData[[#This Row],[Avg_Rent_per_Unit]]*12</f>
        <v>1246140</v>
      </c>
      <c r="P37" s="3">
        <f>1-(PortfolioData[[#This Row],[Occupied_Units]]/PortfolioData[[#This Row],[Units]])</f>
        <v>0.25</v>
      </c>
      <c r="Q37" s="5">
        <f>PortfolioData[[#This Row],[Gross_Rental_Income]] - PortfolioData[[#This Row],[Operating_Cost]] - PortfolioData[[#This Row],[Maintenance_Cost]]</f>
        <v>428078</v>
      </c>
      <c r="R37" s="5">
        <f>PortfolioData[[#This Row],[Adjusted_Debt_Outstanding]]*(PortfolioData[[#This Row],[Interest_Rate]]/100)</f>
        <v>533231.50130000012</v>
      </c>
      <c r="S37" s="5">
        <f>MIN(PortfolioData[[#This Row],[Debt_Outstanding]], PortfolioData[[#This Row],[Current_Value]]*0.8)</f>
        <v>10195631</v>
      </c>
      <c r="T37" s="5">
        <f>PortfolioData[[#This Row],[Net Operating Income (NOI)]]/PortfolioData[[#This Row],[Annual_Debt_Service]]</f>
        <v>0.80279953257892778</v>
      </c>
      <c r="U37" s="5">
        <f>PortfolioData[[#This Row],[Net Operating Income (NOI)]]-PortfolioData[[#This Row],[Annual_Debt_Service]]</f>
        <v>-105153.50130000012</v>
      </c>
      <c r="V37" s="5">
        <f>PortfolioData[[#This Row],[Net Operating Income (NOI)]]</f>
        <v>428078</v>
      </c>
      <c r="W37" s="3">
        <f>PortfolioData[[#This Row],[Gross_Rental_Income]] / PortfolioData[[#This Row],[Purchase_Price]]</f>
        <v>8.8128039757546406E-2</v>
      </c>
      <c r="X37" s="3">
        <f>PortfolioData[[#This Row],[Net Operating Income (NOI)]]/PortfolioData[[#This Row],[Current_Value]]</f>
        <v>3.2625688437785808E-2</v>
      </c>
      <c r="Y37" s="3">
        <f>(PortfolioData[[#This Row],[Current_Value]]-PortfolioData[[#This Row],[Purchase_Price]]+PortfolioData[[#This Row],[Net Operating Income (NOI)]]) / PortfolioData[[#This Row],[Purchase_Price]]</f>
        <v>-4.1806054098030877E-2</v>
      </c>
      <c r="Z37" s="5">
        <f>_xlfn.PERCENTRANK.INC(PortfolioData[ROI],PortfolioData[[#This Row],[ROI]])</f>
        <v>7.2999999999999995E-2</v>
      </c>
      <c r="AA37" s="3" t="str">
        <f>IF(PortfolioData[[#This Row],[ROI_Percentile]]&lt;=0.1,"Underperforming","Healthy")</f>
        <v>Underperforming</v>
      </c>
      <c r="AB37" s="3">
        <f>PortfolioData[[#This Row],[Debt_Outstanding]]/PortfolioData[[#This Row],[Current_Value]]</f>
        <v>0.77705343519786252</v>
      </c>
      <c r="AC37">
        <f>PortfolioData[[#This Row],[Units]]*PortfolioData[[#This Row],[Avg_Rent_per_Unit]]*12</f>
        <v>1661520</v>
      </c>
      <c r="AD37" s="13">
        <f>PortfolioData[[#This Row],[Potential_Revenue]]-PortfolioData[[#This Row],[Gross_Rental_Income]]</f>
        <v>415380</v>
      </c>
      <c r="AE37" s="3">
        <f>IFERROR(PortfolioData[[#This Row],[Vacancy_Loss]]/PortfolioData[[#This Row],[Potential_Revenue]],0)</f>
        <v>0.25</v>
      </c>
      <c r="AF37" s="17">
        <f xml:space="preserve"> (PortfolioData[[#This Row],[Vacancy_%]] * 0.4) + (PortfolioData[[#This Row],[Debt_Ratio]] * 0.3) + (PortfolioData[[#This Row],[Interest_Rate]]/100 * 0.3)</f>
        <v>0.34880603055935877</v>
      </c>
    </row>
    <row r="38" spans="1:32" x14ac:dyDescent="0.3">
      <c r="A38" t="s">
        <v>72</v>
      </c>
      <c r="B38" t="s">
        <v>27</v>
      </c>
      <c r="C38" t="s">
        <v>20</v>
      </c>
      <c r="D38">
        <v>2012</v>
      </c>
      <c r="E38">
        <v>20165646</v>
      </c>
      <c r="F38">
        <v>20207851.960000001</v>
      </c>
      <c r="G38">
        <v>18</v>
      </c>
      <c r="H38">
        <v>13</v>
      </c>
      <c r="I38">
        <v>1768</v>
      </c>
      <c r="J38">
        <v>771303</v>
      </c>
      <c r="K38">
        <v>381263</v>
      </c>
      <c r="L38">
        <v>14631401</v>
      </c>
      <c r="M38">
        <v>6.41</v>
      </c>
      <c r="N38" t="s">
        <v>17</v>
      </c>
      <c r="O38" s="5">
        <f>PortfolioData[[#This Row],[Occupied_Units]]*PortfolioData[[#This Row],[Avg_Rent_per_Unit]]*12</f>
        <v>275808</v>
      </c>
      <c r="P38" s="3">
        <f>1-(PortfolioData[[#This Row],[Occupied_Units]]/PortfolioData[[#This Row],[Units]])</f>
        <v>0.27777777777777779</v>
      </c>
      <c r="Q38" s="5">
        <f>PortfolioData[[#This Row],[Gross_Rental_Income]] - PortfolioData[[#This Row],[Operating_Cost]] - PortfolioData[[#This Row],[Maintenance_Cost]]</f>
        <v>-876758</v>
      </c>
      <c r="R38" s="5">
        <f>PortfolioData[[#This Row],[Adjusted_Debt_Outstanding]]*(PortfolioData[[#This Row],[Interest_Rate]]/100)</f>
        <v>937872.80410000007</v>
      </c>
      <c r="S38" s="5">
        <f>MIN(PortfolioData[[#This Row],[Debt_Outstanding]], PortfolioData[[#This Row],[Current_Value]]*0.8)</f>
        <v>14631401</v>
      </c>
      <c r="T38" s="5">
        <f>PortfolioData[[#This Row],[Net Operating Income (NOI)]]/PortfolioData[[#This Row],[Annual_Debt_Service]]</f>
        <v>-0.93483678827999817</v>
      </c>
      <c r="U38" s="5">
        <f>PortfolioData[[#This Row],[Net Operating Income (NOI)]]-PortfolioData[[#This Row],[Annual_Debt_Service]]</f>
        <v>-1814630.8041000001</v>
      </c>
      <c r="V38" s="5">
        <f>PortfolioData[[#This Row],[Net Operating Income (NOI)]]</f>
        <v>-876758</v>
      </c>
      <c r="W38" s="3">
        <f>PortfolioData[[#This Row],[Gross_Rental_Income]] / PortfolioData[[#This Row],[Purchase_Price]]</f>
        <v>1.3677121972685625E-2</v>
      </c>
      <c r="X38" s="3">
        <f>PortfolioData[[#This Row],[Net Operating Income (NOI)]]/PortfolioData[[#This Row],[Current_Value]]</f>
        <v>-4.3386996388110909E-2</v>
      </c>
      <c r="Y38" s="3">
        <f>(PortfolioData[[#This Row],[Current_Value]]-PortfolioData[[#This Row],[Purchase_Price]]+PortfolioData[[#This Row],[Net Operating Income (NOI)]]) / PortfolioData[[#This Row],[Purchase_Price]]</f>
        <v>-4.138484033687783E-2</v>
      </c>
      <c r="Z38" s="5">
        <f>_xlfn.PERCENTRANK.INC(PortfolioData[ROI],PortfolioData[[#This Row],[ROI]])</f>
        <v>0.08</v>
      </c>
      <c r="AA38" s="3" t="str">
        <f>IF(PortfolioData[[#This Row],[ROI_Percentile]]&lt;=0.1,"Underperforming","Healthy")</f>
        <v>Underperforming</v>
      </c>
      <c r="AB38" s="3">
        <f>PortfolioData[[#This Row],[Debt_Outstanding]]/PortfolioData[[#This Row],[Current_Value]]</f>
        <v>0.72404533786974556</v>
      </c>
      <c r="AC38">
        <f>PortfolioData[[#This Row],[Units]]*PortfolioData[[#This Row],[Avg_Rent_per_Unit]]*12</f>
        <v>381888</v>
      </c>
      <c r="AD38" s="13">
        <f>PortfolioData[[#This Row],[Potential_Revenue]]-PortfolioData[[#This Row],[Gross_Rental_Income]]</f>
        <v>106080</v>
      </c>
      <c r="AE38" s="3">
        <f>IFERROR(PortfolioData[[#This Row],[Vacancy_Loss]]/PortfolioData[[#This Row],[Potential_Revenue]],0)</f>
        <v>0.27777777777777779</v>
      </c>
      <c r="AF38" s="17">
        <f xml:space="preserve"> (PortfolioData[[#This Row],[Vacancy_%]] * 0.4) + (PortfolioData[[#This Row],[Debt_Ratio]] * 0.3) + (PortfolioData[[#This Row],[Interest_Rate]]/100 * 0.3)</f>
        <v>0.34755471247203479</v>
      </c>
    </row>
    <row r="39" spans="1:32" x14ac:dyDescent="0.3">
      <c r="A39" t="s">
        <v>168</v>
      </c>
      <c r="B39" t="s">
        <v>35</v>
      </c>
      <c r="C39" t="s">
        <v>23</v>
      </c>
      <c r="D39">
        <v>2019</v>
      </c>
      <c r="E39">
        <v>12044258</v>
      </c>
      <c r="F39">
        <v>16422069.17</v>
      </c>
      <c r="G39">
        <v>29</v>
      </c>
      <c r="H39">
        <v>21</v>
      </c>
      <c r="I39">
        <v>4309</v>
      </c>
      <c r="J39">
        <v>645397</v>
      </c>
      <c r="K39">
        <v>270905</v>
      </c>
      <c r="L39">
        <v>11972234</v>
      </c>
      <c r="M39">
        <v>5.65</v>
      </c>
      <c r="N39" t="s">
        <v>24</v>
      </c>
      <c r="O39" s="5">
        <f>PortfolioData[[#This Row],[Occupied_Units]]*PortfolioData[[#This Row],[Avg_Rent_per_Unit]]*12</f>
        <v>1085868</v>
      </c>
      <c r="P39" s="3">
        <f>1-(PortfolioData[[#This Row],[Occupied_Units]]/PortfolioData[[#This Row],[Units]])</f>
        <v>0.27586206896551724</v>
      </c>
      <c r="Q39" s="5">
        <f>PortfolioData[[#This Row],[Gross_Rental_Income]] - PortfolioData[[#This Row],[Operating_Cost]] - PortfolioData[[#This Row],[Maintenance_Cost]]</f>
        <v>169566</v>
      </c>
      <c r="R39" s="5">
        <f>PortfolioData[[#This Row],[Adjusted_Debt_Outstanding]]*(PortfolioData[[#This Row],[Interest_Rate]]/100)</f>
        <v>676431.22100000002</v>
      </c>
      <c r="S39" s="5">
        <f>MIN(PortfolioData[[#This Row],[Debt_Outstanding]], PortfolioData[[#This Row],[Current_Value]]*0.8)</f>
        <v>11972234</v>
      </c>
      <c r="T39" s="5">
        <f>PortfolioData[[#This Row],[Net Operating Income (NOI)]]/PortfolioData[[#This Row],[Annual_Debt_Service]]</f>
        <v>0.25067737078918773</v>
      </c>
      <c r="U39" s="5">
        <f>PortfolioData[[#This Row],[Net Operating Income (NOI)]]-PortfolioData[[#This Row],[Annual_Debt_Service]]</f>
        <v>-506865.22100000002</v>
      </c>
      <c r="V39" s="5">
        <f>PortfolioData[[#This Row],[Net Operating Income (NOI)]]</f>
        <v>169566</v>
      </c>
      <c r="W39" s="3">
        <f>PortfolioData[[#This Row],[Gross_Rental_Income]] / PortfolioData[[#This Row],[Purchase_Price]]</f>
        <v>9.0156487846739922E-2</v>
      </c>
      <c r="X39" s="3">
        <f>PortfolioData[[#This Row],[Net Operating Income (NOI)]]/PortfolioData[[#This Row],[Current_Value]]</f>
        <v>1.0325495419892937E-2</v>
      </c>
      <c r="Y39" s="3">
        <f>(PortfolioData[[#This Row],[Current_Value]]-PortfolioData[[#This Row],[Purchase_Price]]+PortfolioData[[#This Row],[Net Operating Income (NOI)]]) / PortfolioData[[#This Row],[Purchase_Price]]</f>
        <v>0.3775556094862797</v>
      </c>
      <c r="Z39" s="5">
        <f>_xlfn.PERCENTRANK.INC(PortfolioData[ROI],PortfolioData[[#This Row],[ROI]])</f>
        <v>0.82499999999999996</v>
      </c>
      <c r="AA39" s="3" t="str">
        <f>IF(PortfolioData[[#This Row],[ROI_Percentile]]&lt;=0.1,"Underperforming","Healthy")</f>
        <v>Healthy</v>
      </c>
      <c r="AB39" s="3">
        <f>PortfolioData[[#This Row],[Debt_Outstanding]]/PortfolioData[[#This Row],[Current_Value]]</f>
        <v>0.72903322206625443</v>
      </c>
      <c r="AC39">
        <f>PortfolioData[[#This Row],[Units]]*PortfolioData[[#This Row],[Avg_Rent_per_Unit]]*12</f>
        <v>1499532</v>
      </c>
      <c r="AD39" s="13">
        <f>PortfolioData[[#This Row],[Potential_Revenue]]-PortfolioData[[#This Row],[Gross_Rental_Income]]</f>
        <v>413664</v>
      </c>
      <c r="AE39" s="3">
        <f>IFERROR(PortfolioData[[#This Row],[Vacancy_Loss]]/PortfolioData[[#This Row],[Potential_Revenue]],0)</f>
        <v>0.27586206896551724</v>
      </c>
      <c r="AF39" s="17">
        <f xml:space="preserve"> (PortfolioData[[#This Row],[Vacancy_%]] * 0.4) + (PortfolioData[[#This Row],[Debt_Ratio]] * 0.3) + (PortfolioData[[#This Row],[Interest_Rate]]/100 * 0.3)</f>
        <v>0.34600479420608321</v>
      </c>
    </row>
    <row r="40" spans="1:32" x14ac:dyDescent="0.3">
      <c r="A40" t="s">
        <v>169</v>
      </c>
      <c r="B40" t="s">
        <v>22</v>
      </c>
      <c r="C40" t="s">
        <v>23</v>
      </c>
      <c r="D40">
        <v>2015</v>
      </c>
      <c r="E40">
        <v>18452720</v>
      </c>
      <c r="F40">
        <v>18845563.27</v>
      </c>
      <c r="G40">
        <v>63</v>
      </c>
      <c r="H40">
        <v>46</v>
      </c>
      <c r="I40">
        <v>5472</v>
      </c>
      <c r="J40">
        <v>349321</v>
      </c>
      <c r="K40">
        <v>209550</v>
      </c>
      <c r="L40">
        <v>13974624</v>
      </c>
      <c r="M40">
        <v>3.53</v>
      </c>
      <c r="N40" t="s">
        <v>24</v>
      </c>
      <c r="O40" s="5">
        <f>PortfolioData[[#This Row],[Occupied_Units]]*PortfolioData[[#This Row],[Avg_Rent_per_Unit]]*12</f>
        <v>3020544</v>
      </c>
      <c r="P40" s="3">
        <f>1-(PortfolioData[[#This Row],[Occupied_Units]]/PortfolioData[[#This Row],[Units]])</f>
        <v>0.26984126984126988</v>
      </c>
      <c r="Q40" s="5">
        <f>PortfolioData[[#This Row],[Gross_Rental_Income]] - PortfolioData[[#This Row],[Operating_Cost]] - PortfolioData[[#This Row],[Maintenance_Cost]]</f>
        <v>2461673</v>
      </c>
      <c r="R40" s="5">
        <f>PortfolioData[[#This Row],[Adjusted_Debt_Outstanding]]*(PortfolioData[[#This Row],[Interest_Rate]]/100)</f>
        <v>493304.22719999996</v>
      </c>
      <c r="S40" s="5">
        <f>MIN(PortfolioData[[#This Row],[Debt_Outstanding]], PortfolioData[[#This Row],[Current_Value]]*0.8)</f>
        <v>13974624</v>
      </c>
      <c r="T40" s="5">
        <f>PortfolioData[[#This Row],[Net Operating Income (NOI)]]/PortfolioData[[#This Row],[Annual_Debt_Service]]</f>
        <v>4.9901721174628531</v>
      </c>
      <c r="U40" s="5">
        <f>PortfolioData[[#This Row],[Net Operating Income (NOI)]]-PortfolioData[[#This Row],[Annual_Debt_Service]]</f>
        <v>1968368.7727999999</v>
      </c>
      <c r="V40" s="5">
        <f>PortfolioData[[#This Row],[Net Operating Income (NOI)]]</f>
        <v>2461673</v>
      </c>
      <c r="W40" s="3">
        <f>PortfolioData[[#This Row],[Gross_Rental_Income]] / PortfolioData[[#This Row],[Purchase_Price]]</f>
        <v>0.16369098972942742</v>
      </c>
      <c r="X40" s="3">
        <f>PortfolioData[[#This Row],[Net Operating Income (NOI)]]/PortfolioData[[#This Row],[Current_Value]]</f>
        <v>0.13062347698138077</v>
      </c>
      <c r="Y40" s="3">
        <f>(PortfolioData[[#This Row],[Current_Value]]-PortfolioData[[#This Row],[Purchase_Price]]+PortfolioData[[#This Row],[Net Operating Income (NOI)]]) / PortfolioData[[#This Row],[Purchase_Price]]</f>
        <v>0.15469352323126345</v>
      </c>
      <c r="Z40" s="5">
        <f>_xlfn.PERCENTRANK.INC(PortfolioData[ROI],PortfolioData[[#This Row],[ROI]])</f>
        <v>0.38200000000000001</v>
      </c>
      <c r="AA40" s="3" t="str">
        <f>IF(PortfolioData[[#This Row],[ROI_Percentile]]&lt;=0.1,"Underperforming","Healthy")</f>
        <v>Healthy</v>
      </c>
      <c r="AB40" s="3">
        <f>PortfolioData[[#This Row],[Debt_Outstanding]]/PortfolioData[[#This Row],[Current_Value]]</f>
        <v>0.74153389844526518</v>
      </c>
      <c r="AC40">
        <f>PortfolioData[[#This Row],[Units]]*PortfolioData[[#This Row],[Avg_Rent_per_Unit]]*12</f>
        <v>4136832</v>
      </c>
      <c r="AD40" s="13">
        <f>PortfolioData[[#This Row],[Potential_Revenue]]-PortfolioData[[#This Row],[Gross_Rental_Income]]</f>
        <v>1116288</v>
      </c>
      <c r="AE40" s="3">
        <f>IFERROR(PortfolioData[[#This Row],[Vacancy_Loss]]/PortfolioData[[#This Row],[Potential_Revenue]],0)</f>
        <v>0.26984126984126983</v>
      </c>
      <c r="AF40" s="17">
        <f xml:space="preserve"> (PortfolioData[[#This Row],[Vacancy_%]] * 0.4) + (PortfolioData[[#This Row],[Debt_Ratio]] * 0.3) + (PortfolioData[[#This Row],[Interest_Rate]]/100 * 0.3)</f>
        <v>0.34098667747008748</v>
      </c>
    </row>
    <row r="41" spans="1:32" x14ac:dyDescent="0.3">
      <c r="A41" t="s">
        <v>87</v>
      </c>
      <c r="B41" t="s">
        <v>15</v>
      </c>
      <c r="C41" t="s">
        <v>30</v>
      </c>
      <c r="D41">
        <v>2019</v>
      </c>
      <c r="E41">
        <v>12953359</v>
      </c>
      <c r="F41">
        <v>16648662.039999999</v>
      </c>
      <c r="G41">
        <v>45</v>
      </c>
      <c r="H41">
        <v>36</v>
      </c>
      <c r="I41">
        <v>3461</v>
      </c>
      <c r="J41">
        <v>307161</v>
      </c>
      <c r="K41">
        <v>225329</v>
      </c>
      <c r="L41">
        <v>13701751</v>
      </c>
      <c r="M41">
        <v>4.4800000000000004</v>
      </c>
      <c r="N41" t="s">
        <v>17</v>
      </c>
      <c r="O41" s="5">
        <f>PortfolioData[[#This Row],[Occupied_Units]]*PortfolioData[[#This Row],[Avg_Rent_per_Unit]]*12</f>
        <v>1495152</v>
      </c>
      <c r="P41" s="3">
        <f>1-(PortfolioData[[#This Row],[Occupied_Units]]/PortfolioData[[#This Row],[Units]])</f>
        <v>0.19999999999999996</v>
      </c>
      <c r="Q41" s="5">
        <f>PortfolioData[[#This Row],[Gross_Rental_Income]] - PortfolioData[[#This Row],[Operating_Cost]] - PortfolioData[[#This Row],[Maintenance_Cost]]</f>
        <v>962662</v>
      </c>
      <c r="R41" s="5">
        <f>PortfolioData[[#This Row],[Adjusted_Debt_Outstanding]]*(PortfolioData[[#This Row],[Interest_Rate]]/100)</f>
        <v>596688.04751360009</v>
      </c>
      <c r="S41" s="5">
        <f>MIN(PortfolioData[[#This Row],[Debt_Outstanding]], PortfolioData[[#This Row],[Current_Value]]*0.8)</f>
        <v>13318929.631999999</v>
      </c>
      <c r="T41" s="5">
        <f>PortfolioData[[#This Row],[Net Operating Income (NOI)]]/PortfolioData[[#This Row],[Annual_Debt_Service]]</f>
        <v>1.6133421877837404</v>
      </c>
      <c r="U41" s="5">
        <f>PortfolioData[[#This Row],[Net Operating Income (NOI)]]-PortfolioData[[#This Row],[Annual_Debt_Service]]</f>
        <v>365973.95248639991</v>
      </c>
      <c r="V41" s="5">
        <f>PortfolioData[[#This Row],[Net Operating Income (NOI)]]</f>
        <v>962662</v>
      </c>
      <c r="W41" s="3">
        <f>PortfolioData[[#This Row],[Gross_Rental_Income]] / PortfolioData[[#This Row],[Purchase_Price]]</f>
        <v>0.11542581348976741</v>
      </c>
      <c r="X41" s="3">
        <f>PortfolioData[[#This Row],[Net Operating Income (NOI)]]/PortfolioData[[#This Row],[Current_Value]]</f>
        <v>5.7822184010169267E-2</v>
      </c>
      <c r="Y41" s="3">
        <f>(PortfolioData[[#This Row],[Current_Value]]-PortfolioData[[#This Row],[Purchase_Price]]+PortfolioData[[#This Row],[Net Operating Income (NOI)]]) / PortfolioData[[#This Row],[Purchase_Price]]</f>
        <v>0.35959514748259497</v>
      </c>
      <c r="Z41" s="5">
        <f>_xlfn.PERCENTRANK.INC(PortfolioData[ROI],PortfolioData[[#This Row],[ROI]])</f>
        <v>0.81799999999999995</v>
      </c>
      <c r="AA41" s="3" t="str">
        <f>IF(PortfolioData[[#This Row],[ROI_Percentile]]&lt;=0.1,"Underperforming","Healthy")</f>
        <v>Healthy</v>
      </c>
      <c r="AB41" s="3">
        <f>PortfolioData[[#This Row],[Debt_Outstanding]]/PortfolioData[[#This Row],[Current_Value]]</f>
        <v>0.82299412211505263</v>
      </c>
      <c r="AC41">
        <f>PortfolioData[[#This Row],[Units]]*PortfolioData[[#This Row],[Avg_Rent_per_Unit]]*12</f>
        <v>1868940</v>
      </c>
      <c r="AD41" s="13">
        <f>PortfolioData[[#This Row],[Potential_Revenue]]-PortfolioData[[#This Row],[Gross_Rental_Income]]</f>
        <v>373788</v>
      </c>
      <c r="AE41" s="3">
        <f>IFERROR(PortfolioData[[#This Row],[Vacancy_Loss]]/PortfolioData[[#This Row],[Potential_Revenue]],0)</f>
        <v>0.2</v>
      </c>
      <c r="AF41" s="17">
        <f xml:space="preserve"> (PortfolioData[[#This Row],[Vacancy_%]] * 0.4) + (PortfolioData[[#This Row],[Debt_Ratio]] * 0.3) + (PortfolioData[[#This Row],[Interest_Rate]]/100 * 0.3)</f>
        <v>0.34033823663451579</v>
      </c>
    </row>
    <row r="42" spans="1:32" x14ac:dyDescent="0.3">
      <c r="A42" t="s">
        <v>82</v>
      </c>
      <c r="B42" t="s">
        <v>35</v>
      </c>
      <c r="C42" t="s">
        <v>30</v>
      </c>
      <c r="D42">
        <v>2016</v>
      </c>
      <c r="E42">
        <v>17413257</v>
      </c>
      <c r="F42">
        <v>19410764.09</v>
      </c>
      <c r="G42">
        <v>22</v>
      </c>
      <c r="H42">
        <v>15</v>
      </c>
      <c r="I42">
        <v>4412</v>
      </c>
      <c r="J42">
        <v>743783</v>
      </c>
      <c r="K42">
        <v>217301</v>
      </c>
      <c r="L42">
        <v>12172956</v>
      </c>
      <c r="M42">
        <v>5.94</v>
      </c>
      <c r="N42" t="s">
        <v>24</v>
      </c>
      <c r="O42" s="5">
        <f>PortfolioData[[#This Row],[Occupied_Units]]*PortfolioData[[#This Row],[Avg_Rent_per_Unit]]*12</f>
        <v>794160</v>
      </c>
      <c r="P42" s="3">
        <f>1-(PortfolioData[[#This Row],[Occupied_Units]]/PortfolioData[[#This Row],[Units]])</f>
        <v>0.31818181818181823</v>
      </c>
      <c r="Q42" s="5">
        <f>PortfolioData[[#This Row],[Gross_Rental_Income]] - PortfolioData[[#This Row],[Operating_Cost]] - PortfolioData[[#This Row],[Maintenance_Cost]]</f>
        <v>-166924</v>
      </c>
      <c r="R42" s="5">
        <f>PortfolioData[[#This Row],[Adjusted_Debt_Outstanding]]*(PortfolioData[[#This Row],[Interest_Rate]]/100)</f>
        <v>723073.58640000003</v>
      </c>
      <c r="S42" s="5">
        <f>MIN(PortfolioData[[#This Row],[Debt_Outstanding]], PortfolioData[[#This Row],[Current_Value]]*0.8)</f>
        <v>12172956</v>
      </c>
      <c r="T42" s="5">
        <f>PortfolioData[[#This Row],[Net Operating Income (NOI)]]/PortfolioData[[#This Row],[Annual_Debt_Service]]</f>
        <v>-0.230853405710852</v>
      </c>
      <c r="U42" s="5">
        <f>PortfolioData[[#This Row],[Net Operating Income (NOI)]]-PortfolioData[[#This Row],[Annual_Debt_Service]]</f>
        <v>-889997.58640000003</v>
      </c>
      <c r="V42" s="5">
        <f>PortfolioData[[#This Row],[Net Operating Income (NOI)]]</f>
        <v>-166924</v>
      </c>
      <c r="W42" s="3">
        <f>PortfolioData[[#This Row],[Gross_Rental_Income]] / PortfolioData[[#This Row],[Purchase_Price]]</f>
        <v>4.560663177485981E-2</v>
      </c>
      <c r="X42" s="3">
        <f>PortfolioData[[#This Row],[Net Operating Income (NOI)]]/PortfolioData[[#This Row],[Current_Value]]</f>
        <v>-8.5995584319112708E-3</v>
      </c>
      <c r="Y42" s="3">
        <f>(PortfolioData[[#This Row],[Current_Value]]-PortfolioData[[#This Row],[Purchase_Price]]+PortfolioData[[#This Row],[Net Operating Income (NOI)]]) / PortfolioData[[#This Row],[Purchase_Price]]</f>
        <v>0.10512582970549392</v>
      </c>
      <c r="Z42" s="5">
        <f>_xlfn.PERCENTRANK.INC(PortfolioData[ROI],PortfolioData[[#This Row],[ROI]])</f>
        <v>0.32200000000000001</v>
      </c>
      <c r="AA42" s="3" t="str">
        <f>IF(PortfolioData[[#This Row],[ROI_Percentile]]&lt;=0.1,"Underperforming","Healthy")</f>
        <v>Healthy</v>
      </c>
      <c r="AB42" s="3">
        <f>PortfolioData[[#This Row],[Debt_Outstanding]]/PortfolioData[[#This Row],[Current_Value]]</f>
        <v>0.62712399901203475</v>
      </c>
      <c r="AC42">
        <f>PortfolioData[[#This Row],[Units]]*PortfolioData[[#This Row],[Avg_Rent_per_Unit]]*12</f>
        <v>1164768</v>
      </c>
      <c r="AD42" s="13">
        <f>PortfolioData[[#This Row],[Potential_Revenue]]-PortfolioData[[#This Row],[Gross_Rental_Income]]</f>
        <v>370608</v>
      </c>
      <c r="AE42" s="3">
        <f>IFERROR(PortfolioData[[#This Row],[Vacancy_Loss]]/PortfolioData[[#This Row],[Potential_Revenue]],0)</f>
        <v>0.31818181818181818</v>
      </c>
      <c r="AF42" s="17">
        <f xml:space="preserve"> (PortfolioData[[#This Row],[Vacancy_%]] * 0.4) + (PortfolioData[[#This Row],[Debt_Ratio]] * 0.3) + (PortfolioData[[#This Row],[Interest_Rate]]/100 * 0.3)</f>
        <v>0.33322992697633774</v>
      </c>
    </row>
    <row r="43" spans="1:32" x14ac:dyDescent="0.3">
      <c r="A43" t="s">
        <v>102</v>
      </c>
      <c r="B43" t="s">
        <v>15</v>
      </c>
      <c r="C43" t="s">
        <v>20</v>
      </c>
      <c r="D43">
        <v>2015</v>
      </c>
      <c r="E43">
        <v>19017813</v>
      </c>
      <c r="F43">
        <v>22877988.539999999</v>
      </c>
      <c r="G43">
        <v>73</v>
      </c>
      <c r="H43">
        <v>51</v>
      </c>
      <c r="I43">
        <v>5004</v>
      </c>
      <c r="J43">
        <v>894710</v>
      </c>
      <c r="K43">
        <v>132660</v>
      </c>
      <c r="L43">
        <v>14472139</v>
      </c>
      <c r="M43">
        <v>4.9400000000000004</v>
      </c>
      <c r="N43" t="s">
        <v>17</v>
      </c>
      <c r="O43" s="5">
        <f>PortfolioData[[#This Row],[Occupied_Units]]*PortfolioData[[#This Row],[Avg_Rent_per_Unit]]*12</f>
        <v>3062448</v>
      </c>
      <c r="P43" s="3">
        <f>1-(PortfolioData[[#This Row],[Occupied_Units]]/PortfolioData[[#This Row],[Units]])</f>
        <v>0.30136986301369861</v>
      </c>
      <c r="Q43" s="5">
        <f>PortfolioData[[#This Row],[Gross_Rental_Income]] - PortfolioData[[#This Row],[Operating_Cost]] - PortfolioData[[#This Row],[Maintenance_Cost]]</f>
        <v>2035078</v>
      </c>
      <c r="R43" s="5">
        <f>PortfolioData[[#This Row],[Adjusted_Debt_Outstanding]]*(PortfolioData[[#This Row],[Interest_Rate]]/100)</f>
        <v>714923.66660000011</v>
      </c>
      <c r="S43" s="5">
        <f>MIN(PortfolioData[[#This Row],[Debt_Outstanding]], PortfolioData[[#This Row],[Current_Value]]*0.8)</f>
        <v>14472139</v>
      </c>
      <c r="T43" s="5">
        <f>PortfolioData[[#This Row],[Net Operating Income (NOI)]]/PortfolioData[[#This Row],[Annual_Debt_Service]]</f>
        <v>2.8465668365384054</v>
      </c>
      <c r="U43" s="5">
        <f>PortfolioData[[#This Row],[Net Operating Income (NOI)]]-PortfolioData[[#This Row],[Annual_Debt_Service]]</f>
        <v>1320154.3333999999</v>
      </c>
      <c r="V43" s="5">
        <f>PortfolioData[[#This Row],[Net Operating Income (NOI)]]</f>
        <v>2035078</v>
      </c>
      <c r="W43" s="3">
        <f>PortfolioData[[#This Row],[Gross_Rental_Income]] / PortfolioData[[#This Row],[Purchase_Price]]</f>
        <v>0.16103050334967539</v>
      </c>
      <c r="X43" s="3">
        <f>PortfolioData[[#This Row],[Net Operating Income (NOI)]]/PortfolioData[[#This Row],[Current_Value]]</f>
        <v>8.8953536996570243E-2</v>
      </c>
      <c r="Y43" s="3">
        <f>(PortfolioData[[#This Row],[Current_Value]]-PortfolioData[[#This Row],[Purchase_Price]]+PortfolioData[[#This Row],[Net Operating Income (NOI)]]) / PortfolioData[[#This Row],[Purchase_Price]]</f>
        <v>0.30998588218319317</v>
      </c>
      <c r="Z43" s="5">
        <f>_xlfn.PERCENTRANK.INC(PortfolioData[ROI],PortfolioData[[#This Row],[ROI]])</f>
        <v>0.69699999999999995</v>
      </c>
      <c r="AA43" s="3" t="str">
        <f>IF(PortfolioData[[#This Row],[ROI_Percentile]]&lt;=0.1,"Underperforming","Healthy")</f>
        <v>Healthy</v>
      </c>
      <c r="AB43" s="3">
        <f>PortfolioData[[#This Row],[Debt_Outstanding]]/PortfolioData[[#This Row],[Current_Value]]</f>
        <v>0.63257916991683227</v>
      </c>
      <c r="AC43">
        <f>PortfolioData[[#This Row],[Units]]*PortfolioData[[#This Row],[Avg_Rent_per_Unit]]*12</f>
        <v>4383504</v>
      </c>
      <c r="AD43" s="13">
        <f>PortfolioData[[#This Row],[Potential_Revenue]]-PortfolioData[[#This Row],[Gross_Rental_Income]]</f>
        <v>1321056</v>
      </c>
      <c r="AE43" s="3">
        <f>IFERROR(PortfolioData[[#This Row],[Vacancy_Loss]]/PortfolioData[[#This Row],[Potential_Revenue]],0)</f>
        <v>0.30136986301369861</v>
      </c>
      <c r="AF43" s="17">
        <f xml:space="preserve"> (PortfolioData[[#This Row],[Vacancy_%]] * 0.4) + (PortfolioData[[#This Row],[Debt_Ratio]] * 0.3) + (PortfolioData[[#This Row],[Interest_Rate]]/100 * 0.3)</f>
        <v>0.32514169618052913</v>
      </c>
    </row>
    <row r="44" spans="1:32" x14ac:dyDescent="0.3">
      <c r="A44" t="s">
        <v>170</v>
      </c>
      <c r="B44" t="s">
        <v>35</v>
      </c>
      <c r="C44" t="s">
        <v>23</v>
      </c>
      <c r="D44">
        <v>2022</v>
      </c>
      <c r="E44">
        <v>15342555</v>
      </c>
      <c r="F44">
        <v>14246984.529999999</v>
      </c>
      <c r="G44">
        <v>31</v>
      </c>
      <c r="H44">
        <v>26</v>
      </c>
      <c r="I44">
        <v>5149</v>
      </c>
      <c r="J44">
        <v>750173</v>
      </c>
      <c r="K44">
        <v>227322</v>
      </c>
      <c r="L44">
        <v>11409122</v>
      </c>
      <c r="M44">
        <v>4.75</v>
      </c>
      <c r="N44" t="s">
        <v>24</v>
      </c>
      <c r="O44" s="5">
        <f>PortfolioData[[#This Row],[Occupied_Units]]*PortfolioData[[#This Row],[Avg_Rent_per_Unit]]*12</f>
        <v>1606488</v>
      </c>
      <c r="P44" s="3">
        <f>1-(PortfolioData[[#This Row],[Occupied_Units]]/PortfolioData[[#This Row],[Units]])</f>
        <v>0.16129032258064513</v>
      </c>
      <c r="Q44" s="5">
        <f>PortfolioData[[#This Row],[Gross_Rental_Income]] - PortfolioData[[#This Row],[Operating_Cost]] - PortfolioData[[#This Row],[Maintenance_Cost]]</f>
        <v>628993</v>
      </c>
      <c r="R44" s="5">
        <f>PortfolioData[[#This Row],[Adjusted_Debt_Outstanding]]*(PortfolioData[[#This Row],[Interest_Rate]]/100)</f>
        <v>541385.41214000003</v>
      </c>
      <c r="S44" s="5">
        <f>MIN(PortfolioData[[#This Row],[Debt_Outstanding]], PortfolioData[[#This Row],[Current_Value]]*0.8)</f>
        <v>11397587.624</v>
      </c>
      <c r="T44" s="5">
        <f>PortfolioData[[#This Row],[Net Operating Income (NOI)]]/PortfolioData[[#This Row],[Annual_Debt_Service]]</f>
        <v>1.1618211091312984</v>
      </c>
      <c r="U44" s="5">
        <f>PortfolioData[[#This Row],[Net Operating Income (NOI)]]-PortfolioData[[#This Row],[Annual_Debt_Service]]</f>
        <v>87607.587859999971</v>
      </c>
      <c r="V44" s="5">
        <f>PortfolioData[[#This Row],[Net Operating Income (NOI)]]</f>
        <v>628993</v>
      </c>
      <c r="W44" s="3">
        <f>PortfolioData[[#This Row],[Gross_Rental_Income]] / PortfolioData[[#This Row],[Purchase_Price]]</f>
        <v>0.10470798377454081</v>
      </c>
      <c r="X44" s="3">
        <f>PortfolioData[[#This Row],[Net Operating Income (NOI)]]/PortfolioData[[#This Row],[Current_Value]]</f>
        <v>4.414920214698935E-2</v>
      </c>
      <c r="Y44" s="3">
        <f>(PortfolioData[[#This Row],[Current_Value]]-PortfolioData[[#This Row],[Purchase_Price]]+PortfolioData[[#This Row],[Net Operating Income (NOI)]]) / PortfolioData[[#This Row],[Purchase_Price]]</f>
        <v>-3.0410676057540654E-2</v>
      </c>
      <c r="Z44" s="5">
        <f>_xlfn.PERCENTRANK.INC(PortfolioData[ROI],PortfolioData[[#This Row],[ROI]])</f>
        <v>0.12</v>
      </c>
      <c r="AA44" s="3" t="str">
        <f>IF(PortfolioData[[#This Row],[ROI_Percentile]]&lt;=0.1,"Underperforming","Healthy")</f>
        <v>Healthy</v>
      </c>
      <c r="AB44" s="3">
        <f>PortfolioData[[#This Row],[Debt_Outstanding]]/PortfolioData[[#This Row],[Current_Value]]</f>
        <v>0.80080960121601263</v>
      </c>
      <c r="AC44">
        <f>PortfolioData[[#This Row],[Units]]*PortfolioData[[#This Row],[Avg_Rent_per_Unit]]*12</f>
        <v>1915428</v>
      </c>
      <c r="AD44" s="13">
        <f>PortfolioData[[#This Row],[Potential_Revenue]]-PortfolioData[[#This Row],[Gross_Rental_Income]]</f>
        <v>308940</v>
      </c>
      <c r="AE44" s="3">
        <f>IFERROR(PortfolioData[[#This Row],[Vacancy_Loss]]/PortfolioData[[#This Row],[Potential_Revenue]],0)</f>
        <v>0.16129032258064516</v>
      </c>
      <c r="AF44" s="17">
        <f xml:space="preserve"> (PortfolioData[[#This Row],[Vacancy_%]] * 0.4) + (PortfolioData[[#This Row],[Debt_Ratio]] * 0.3) + (PortfolioData[[#This Row],[Interest_Rate]]/100 * 0.3)</f>
        <v>0.31900900939706184</v>
      </c>
    </row>
    <row r="45" spans="1:32" x14ac:dyDescent="0.3">
      <c r="A45" t="s">
        <v>116</v>
      </c>
      <c r="B45" t="s">
        <v>35</v>
      </c>
      <c r="C45" t="s">
        <v>23</v>
      </c>
      <c r="D45">
        <v>2016</v>
      </c>
      <c r="E45">
        <v>9243978</v>
      </c>
      <c r="F45">
        <v>8760440.1500000004</v>
      </c>
      <c r="G45">
        <v>16</v>
      </c>
      <c r="H45">
        <v>13</v>
      </c>
      <c r="I45">
        <v>2334</v>
      </c>
      <c r="J45">
        <v>709653</v>
      </c>
      <c r="K45">
        <v>199977</v>
      </c>
      <c r="L45">
        <v>6561036</v>
      </c>
      <c r="M45">
        <v>4.76</v>
      </c>
      <c r="N45" t="s">
        <v>24</v>
      </c>
      <c r="O45" s="5">
        <f>PortfolioData[[#This Row],[Occupied_Units]]*PortfolioData[[#This Row],[Avg_Rent_per_Unit]]*12</f>
        <v>364104</v>
      </c>
      <c r="P45" s="3">
        <f>1-(PortfolioData[[#This Row],[Occupied_Units]]/PortfolioData[[#This Row],[Units]])</f>
        <v>0.1875</v>
      </c>
      <c r="Q45" s="5">
        <f>PortfolioData[[#This Row],[Gross_Rental_Income]] - PortfolioData[[#This Row],[Operating_Cost]] - PortfolioData[[#This Row],[Maintenance_Cost]]</f>
        <v>-545526</v>
      </c>
      <c r="R45" s="5">
        <f>PortfolioData[[#This Row],[Adjusted_Debt_Outstanding]]*(PortfolioData[[#This Row],[Interest_Rate]]/100)</f>
        <v>312305.31359999999</v>
      </c>
      <c r="S45" s="5">
        <f>MIN(PortfolioData[[#This Row],[Debt_Outstanding]], PortfolioData[[#This Row],[Current_Value]]*0.8)</f>
        <v>6561036</v>
      </c>
      <c r="T45" s="5">
        <f>PortfolioData[[#This Row],[Net Operating Income (NOI)]]/PortfolioData[[#This Row],[Annual_Debt_Service]]</f>
        <v>-1.7467714324537833</v>
      </c>
      <c r="U45" s="5">
        <f>PortfolioData[[#This Row],[Net Operating Income (NOI)]]-PortfolioData[[#This Row],[Annual_Debt_Service]]</f>
        <v>-857831.31359999999</v>
      </c>
      <c r="V45" s="5">
        <f>PortfolioData[[#This Row],[Net Operating Income (NOI)]]</f>
        <v>-545526</v>
      </c>
      <c r="W45" s="3">
        <f>PortfolioData[[#This Row],[Gross_Rental_Income]] / PortfolioData[[#This Row],[Purchase_Price]]</f>
        <v>3.9388237401690049E-2</v>
      </c>
      <c r="X45" s="3">
        <f>PortfolioData[[#This Row],[Net Operating Income (NOI)]]/PortfolioData[[#This Row],[Current_Value]]</f>
        <v>-6.2271528674275572E-2</v>
      </c>
      <c r="Y45" s="3">
        <f>(PortfolioData[[#This Row],[Current_Value]]-PortfolioData[[#This Row],[Purchase_Price]]+PortfolioData[[#This Row],[Net Operating Income (NOI)]]) / PortfolioData[[#This Row],[Purchase_Price]]</f>
        <v>-0.11132261998027253</v>
      </c>
      <c r="Z45" s="5">
        <f>_xlfn.PERCENTRANK.INC(PortfolioData[ROI],PortfolioData[[#This Row],[ROI]])</f>
        <v>6.0000000000000001E-3</v>
      </c>
      <c r="AA45" s="3" t="str">
        <f>IF(PortfolioData[[#This Row],[ROI_Percentile]]&lt;=0.1,"Underperforming","Healthy")</f>
        <v>Underperforming</v>
      </c>
      <c r="AB45" s="3">
        <f>PortfolioData[[#This Row],[Debt_Outstanding]]/PortfolioData[[#This Row],[Current_Value]]</f>
        <v>0.74893908155973188</v>
      </c>
      <c r="AC45">
        <f>PortfolioData[[#This Row],[Units]]*PortfolioData[[#This Row],[Avg_Rent_per_Unit]]*12</f>
        <v>448128</v>
      </c>
      <c r="AD45" s="13">
        <f>PortfolioData[[#This Row],[Potential_Revenue]]-PortfolioData[[#This Row],[Gross_Rental_Income]]</f>
        <v>84024</v>
      </c>
      <c r="AE45" s="3">
        <f>IFERROR(PortfolioData[[#This Row],[Vacancy_Loss]]/PortfolioData[[#This Row],[Potential_Revenue]],0)</f>
        <v>0.1875</v>
      </c>
      <c r="AF45" s="17">
        <f xml:space="preserve"> (PortfolioData[[#This Row],[Vacancy_%]] * 0.4) + (PortfolioData[[#This Row],[Debt_Ratio]] * 0.3) + (PortfolioData[[#This Row],[Interest_Rate]]/100 * 0.3)</f>
        <v>0.31396172446791959</v>
      </c>
    </row>
    <row r="46" spans="1:32" x14ac:dyDescent="0.3">
      <c r="A46" t="s">
        <v>115</v>
      </c>
      <c r="B46" t="s">
        <v>35</v>
      </c>
      <c r="C46" t="s">
        <v>20</v>
      </c>
      <c r="D46">
        <v>2021</v>
      </c>
      <c r="E46">
        <v>7165504</v>
      </c>
      <c r="F46">
        <v>8493731.9800000004</v>
      </c>
      <c r="G46">
        <v>46</v>
      </c>
      <c r="H46">
        <v>44</v>
      </c>
      <c r="I46">
        <v>4146</v>
      </c>
      <c r="J46">
        <v>451063</v>
      </c>
      <c r="K46">
        <v>207717</v>
      </c>
      <c r="L46">
        <v>8018817</v>
      </c>
      <c r="M46">
        <v>4.2300000000000004</v>
      </c>
      <c r="N46" t="s">
        <v>17</v>
      </c>
      <c r="O46" s="5">
        <f>PortfolioData[[#This Row],[Occupied_Units]]*PortfolioData[[#This Row],[Avg_Rent_per_Unit]]*12</f>
        <v>2189088</v>
      </c>
      <c r="P46" s="3">
        <f>1-(PortfolioData[[#This Row],[Occupied_Units]]/PortfolioData[[#This Row],[Units]])</f>
        <v>4.3478260869565188E-2</v>
      </c>
      <c r="Q46" s="5">
        <f>PortfolioData[[#This Row],[Gross_Rental_Income]] - PortfolioData[[#This Row],[Operating_Cost]] - PortfolioData[[#This Row],[Maintenance_Cost]]</f>
        <v>1530308</v>
      </c>
      <c r="R46" s="5">
        <f>PortfolioData[[#This Row],[Adjusted_Debt_Outstanding]]*(PortfolioData[[#This Row],[Interest_Rate]]/100)</f>
        <v>287427.89020320005</v>
      </c>
      <c r="S46" s="5">
        <f>MIN(PortfolioData[[#This Row],[Debt_Outstanding]], PortfolioData[[#This Row],[Current_Value]]*0.8)</f>
        <v>6794985.5840000007</v>
      </c>
      <c r="T46" s="5">
        <f>PortfolioData[[#This Row],[Net Operating Income (NOI)]]/PortfolioData[[#This Row],[Annual_Debt_Service]]</f>
        <v>5.3241458193849365</v>
      </c>
      <c r="U46" s="5">
        <f>PortfolioData[[#This Row],[Net Operating Income (NOI)]]-PortfolioData[[#This Row],[Annual_Debt_Service]]</f>
        <v>1242880.1097968</v>
      </c>
      <c r="V46" s="5">
        <f>PortfolioData[[#This Row],[Net Operating Income (NOI)]]</f>
        <v>1530308</v>
      </c>
      <c r="W46" s="3">
        <f>PortfolioData[[#This Row],[Gross_Rental_Income]] / PortfolioData[[#This Row],[Purchase_Price]]</f>
        <v>0.30550370218200978</v>
      </c>
      <c r="X46" s="3">
        <f>PortfolioData[[#This Row],[Net Operating Income (NOI)]]/PortfolioData[[#This Row],[Current_Value]]</f>
        <v>0.18016909452798627</v>
      </c>
      <c r="Y46" s="3">
        <f>(PortfolioData[[#This Row],[Current_Value]]-PortfolioData[[#This Row],[Purchase_Price]]+PortfolioData[[#This Row],[Net Operating Income (NOI)]]) / PortfolioData[[#This Row],[Purchase_Price]]</f>
        <v>0.39893020504907967</v>
      </c>
      <c r="Z46" s="5">
        <f>_xlfn.PERCENTRANK.INC(PortfolioData[ROI],PortfolioData[[#This Row],[ROI]])</f>
        <v>0.85199999999999998</v>
      </c>
      <c r="AA46" s="3" t="str">
        <f>IF(PortfolioData[[#This Row],[ROI_Percentile]]&lt;=0.1,"Underperforming","Healthy")</f>
        <v>Healthy</v>
      </c>
      <c r="AB46" s="3">
        <f>PortfolioData[[#This Row],[Debt_Outstanding]]/PortfolioData[[#This Row],[Current_Value]]</f>
        <v>0.94408641794699055</v>
      </c>
      <c r="AC46">
        <f>PortfolioData[[#This Row],[Units]]*PortfolioData[[#This Row],[Avg_Rent_per_Unit]]*12</f>
        <v>2288592</v>
      </c>
      <c r="AD46" s="13">
        <f>PortfolioData[[#This Row],[Potential_Revenue]]-PortfolioData[[#This Row],[Gross_Rental_Income]]</f>
        <v>99504</v>
      </c>
      <c r="AE46" s="3">
        <f>IFERROR(PortfolioData[[#This Row],[Vacancy_Loss]]/PortfolioData[[#This Row],[Potential_Revenue]],0)</f>
        <v>4.3478260869565216E-2</v>
      </c>
      <c r="AF46" s="17">
        <f xml:space="preserve"> (PortfolioData[[#This Row],[Vacancy_%]] * 0.4) + (PortfolioData[[#This Row],[Debt_Ratio]] * 0.3) + (PortfolioData[[#This Row],[Interest_Rate]]/100 * 0.3)</f>
        <v>0.31330722973192321</v>
      </c>
    </row>
    <row r="47" spans="1:32" x14ac:dyDescent="0.3">
      <c r="A47" t="s">
        <v>89</v>
      </c>
      <c r="B47" t="s">
        <v>35</v>
      </c>
      <c r="C47" t="s">
        <v>20</v>
      </c>
      <c r="D47">
        <v>2016</v>
      </c>
      <c r="E47">
        <v>15657512</v>
      </c>
      <c r="F47">
        <v>17652628.77</v>
      </c>
      <c r="G47">
        <v>26</v>
      </c>
      <c r="H47">
        <v>21</v>
      </c>
      <c r="I47">
        <v>2388</v>
      </c>
      <c r="J47">
        <v>768700</v>
      </c>
      <c r="K47">
        <v>164349</v>
      </c>
      <c r="L47">
        <v>12705131</v>
      </c>
      <c r="M47">
        <v>5.14</v>
      </c>
      <c r="N47" t="s">
        <v>24</v>
      </c>
      <c r="O47" s="5">
        <f>PortfolioData[[#This Row],[Occupied_Units]]*PortfolioData[[#This Row],[Avg_Rent_per_Unit]]*12</f>
        <v>601776</v>
      </c>
      <c r="P47" s="3">
        <f>1-(PortfolioData[[#This Row],[Occupied_Units]]/PortfolioData[[#This Row],[Units]])</f>
        <v>0.19230769230769229</v>
      </c>
      <c r="Q47" s="5">
        <f>PortfolioData[[#This Row],[Gross_Rental_Income]] - PortfolioData[[#This Row],[Operating_Cost]] - PortfolioData[[#This Row],[Maintenance_Cost]]</f>
        <v>-331273</v>
      </c>
      <c r="R47" s="5">
        <f>PortfolioData[[#This Row],[Adjusted_Debt_Outstanding]]*(PortfolioData[[#This Row],[Interest_Rate]]/100)</f>
        <v>653043.73339999991</v>
      </c>
      <c r="S47" s="5">
        <f>MIN(PortfolioData[[#This Row],[Debt_Outstanding]], PortfolioData[[#This Row],[Current_Value]]*0.8)</f>
        <v>12705131</v>
      </c>
      <c r="T47" s="5">
        <f>PortfolioData[[#This Row],[Net Operating Income (NOI)]]/PortfolioData[[#This Row],[Annual_Debt_Service]]</f>
        <v>-0.50727536772348125</v>
      </c>
      <c r="U47" s="5">
        <f>PortfolioData[[#This Row],[Net Operating Income (NOI)]]-PortfolioData[[#This Row],[Annual_Debt_Service]]</f>
        <v>-984316.73339999991</v>
      </c>
      <c r="V47" s="5">
        <f>PortfolioData[[#This Row],[Net Operating Income (NOI)]]</f>
        <v>-331273</v>
      </c>
      <c r="W47" s="3">
        <f>PortfolioData[[#This Row],[Gross_Rental_Income]] / PortfolioData[[#This Row],[Purchase_Price]]</f>
        <v>3.8433692402726566E-2</v>
      </c>
      <c r="X47" s="3">
        <f>PortfolioData[[#This Row],[Net Operating Income (NOI)]]/PortfolioData[[#This Row],[Current_Value]]</f>
        <v>-1.876621348107577E-2</v>
      </c>
      <c r="Y47" s="3">
        <f>(PortfolioData[[#This Row],[Current_Value]]-PortfolioData[[#This Row],[Purchase_Price]]+PortfolioData[[#This Row],[Net Operating Income (NOI)]]) / PortfolioData[[#This Row],[Purchase_Price]]</f>
        <v>0.10626488870006931</v>
      </c>
      <c r="Z47" s="5">
        <f>_xlfn.PERCENTRANK.INC(PortfolioData[ROI],PortfolioData[[#This Row],[ROI]])</f>
        <v>0.32800000000000001</v>
      </c>
      <c r="AA47" s="3" t="str">
        <f>IF(PortfolioData[[#This Row],[ROI_Percentile]]&lt;=0.1,"Underperforming","Healthy")</f>
        <v>Healthy</v>
      </c>
      <c r="AB47" s="3">
        <f>PortfolioData[[#This Row],[Debt_Outstanding]]/PortfolioData[[#This Row],[Current_Value]]</f>
        <v>0.7197302546571368</v>
      </c>
      <c r="AC47">
        <f>PortfolioData[[#This Row],[Units]]*PortfolioData[[#This Row],[Avg_Rent_per_Unit]]*12</f>
        <v>745056</v>
      </c>
      <c r="AD47" s="13">
        <f>PortfolioData[[#This Row],[Potential_Revenue]]-PortfolioData[[#This Row],[Gross_Rental_Income]]</f>
        <v>143280</v>
      </c>
      <c r="AE47" s="3">
        <f>IFERROR(PortfolioData[[#This Row],[Vacancy_Loss]]/PortfolioData[[#This Row],[Potential_Revenue]],0)</f>
        <v>0.19230769230769232</v>
      </c>
      <c r="AF47" s="17">
        <f xml:space="preserve"> (PortfolioData[[#This Row],[Vacancy_%]] * 0.4) + (PortfolioData[[#This Row],[Debt_Ratio]] * 0.3) + (PortfolioData[[#This Row],[Interest_Rate]]/100 * 0.3)</f>
        <v>0.30826215332021795</v>
      </c>
    </row>
    <row r="48" spans="1:32" x14ac:dyDescent="0.3">
      <c r="A48" t="s">
        <v>36</v>
      </c>
      <c r="B48" t="s">
        <v>27</v>
      </c>
      <c r="C48" t="s">
        <v>20</v>
      </c>
      <c r="D48">
        <v>2012</v>
      </c>
      <c r="E48">
        <v>18706430</v>
      </c>
      <c r="F48">
        <v>25323582.030000001</v>
      </c>
      <c r="G48">
        <v>33</v>
      </c>
      <c r="H48">
        <v>24</v>
      </c>
      <c r="I48">
        <v>5327</v>
      </c>
      <c r="J48">
        <v>486414</v>
      </c>
      <c r="K48">
        <v>439525</v>
      </c>
      <c r="L48">
        <v>14999242</v>
      </c>
      <c r="M48">
        <v>6.39</v>
      </c>
      <c r="N48" t="s">
        <v>24</v>
      </c>
      <c r="O48" s="5">
        <f>PortfolioData[[#This Row],[Occupied_Units]]*PortfolioData[[#This Row],[Avg_Rent_per_Unit]]*12</f>
        <v>1534176</v>
      </c>
      <c r="P48" s="3">
        <f>1-(PortfolioData[[#This Row],[Occupied_Units]]/PortfolioData[[#This Row],[Units]])</f>
        <v>0.27272727272727271</v>
      </c>
      <c r="Q48" s="5">
        <f>PortfolioData[[#This Row],[Gross_Rental_Income]] - PortfolioData[[#This Row],[Operating_Cost]] - PortfolioData[[#This Row],[Maintenance_Cost]]</f>
        <v>608237</v>
      </c>
      <c r="R48" s="5">
        <f>PortfolioData[[#This Row],[Adjusted_Debt_Outstanding]]*(PortfolioData[[#This Row],[Interest_Rate]]/100)</f>
        <v>958451.5638</v>
      </c>
      <c r="S48" s="5">
        <f>MIN(PortfolioData[[#This Row],[Debt_Outstanding]], PortfolioData[[#This Row],[Current_Value]]*0.8)</f>
        <v>14999242</v>
      </c>
      <c r="T48" s="5">
        <f>PortfolioData[[#This Row],[Net Operating Income (NOI)]]/PortfolioData[[#This Row],[Annual_Debt_Service]]</f>
        <v>0.63460379530135624</v>
      </c>
      <c r="U48" s="5">
        <f>PortfolioData[[#This Row],[Net Operating Income (NOI)]]-PortfolioData[[#This Row],[Annual_Debt_Service]]</f>
        <v>-350214.5638</v>
      </c>
      <c r="V48" s="5">
        <f>PortfolioData[[#This Row],[Net Operating Income (NOI)]]</f>
        <v>608237</v>
      </c>
      <c r="W48" s="3">
        <f>PortfolioData[[#This Row],[Gross_Rental_Income]] / PortfolioData[[#This Row],[Purchase_Price]]</f>
        <v>8.2013297032090038E-2</v>
      </c>
      <c r="X48" s="3">
        <f>PortfolioData[[#This Row],[Net Operating Income (NOI)]]/PortfolioData[[#This Row],[Current_Value]]</f>
        <v>2.4018600499701896E-2</v>
      </c>
      <c r="Y48" s="3">
        <f>(PortfolioData[[#This Row],[Current_Value]]-PortfolioData[[#This Row],[Purchase_Price]]+PortfolioData[[#This Row],[Net Operating Income (NOI)]]) / PortfolioData[[#This Row],[Purchase_Price]]</f>
        <v>0.38625162738160096</v>
      </c>
      <c r="Z48" s="5">
        <f>_xlfn.PERCENTRANK.INC(PortfolioData[ROI],PortfolioData[[#This Row],[ROI]])</f>
        <v>0.84499999999999997</v>
      </c>
      <c r="AA48" s="3" t="str">
        <f>IF(PortfolioData[[#This Row],[ROI_Percentile]]&lt;=0.1,"Underperforming","Healthy")</f>
        <v>Healthy</v>
      </c>
      <c r="AB48" s="3">
        <f>PortfolioData[[#This Row],[Debt_Outstanding]]/PortfolioData[[#This Row],[Current_Value]]</f>
        <v>0.59230333142566083</v>
      </c>
      <c r="AC48">
        <f>PortfolioData[[#This Row],[Units]]*PortfolioData[[#This Row],[Avg_Rent_per_Unit]]*12</f>
        <v>2109492</v>
      </c>
      <c r="AD48" s="13">
        <f>PortfolioData[[#This Row],[Potential_Revenue]]-PortfolioData[[#This Row],[Gross_Rental_Income]]</f>
        <v>575316</v>
      </c>
      <c r="AE48" s="3">
        <f>IFERROR(PortfolioData[[#This Row],[Vacancy_Loss]]/PortfolioData[[#This Row],[Potential_Revenue]],0)</f>
        <v>0.27272727272727271</v>
      </c>
      <c r="AF48" s="17">
        <f xml:space="preserve"> (PortfolioData[[#This Row],[Vacancy_%]] * 0.4) + (PortfolioData[[#This Row],[Debt_Ratio]] * 0.3) + (PortfolioData[[#This Row],[Interest_Rate]]/100 * 0.3)</f>
        <v>0.30595190851860737</v>
      </c>
    </row>
    <row r="49" spans="1:32" x14ac:dyDescent="0.3">
      <c r="A49" t="s">
        <v>42</v>
      </c>
      <c r="B49" t="s">
        <v>22</v>
      </c>
      <c r="C49" t="s">
        <v>23</v>
      </c>
      <c r="D49">
        <v>2021</v>
      </c>
      <c r="E49">
        <v>16974452</v>
      </c>
      <c r="F49">
        <v>18612125.370000001</v>
      </c>
      <c r="G49">
        <v>68</v>
      </c>
      <c r="H49">
        <v>47</v>
      </c>
      <c r="I49">
        <v>5669</v>
      </c>
      <c r="J49">
        <v>759669</v>
      </c>
      <c r="K49">
        <v>354593</v>
      </c>
      <c r="L49">
        <v>9707748</v>
      </c>
      <c r="M49">
        <v>7.46</v>
      </c>
      <c r="N49" t="s">
        <v>17</v>
      </c>
      <c r="O49" s="5">
        <f>PortfolioData[[#This Row],[Occupied_Units]]*PortfolioData[[#This Row],[Avg_Rent_per_Unit]]*12</f>
        <v>3197316</v>
      </c>
      <c r="P49" s="3">
        <f>1-(PortfolioData[[#This Row],[Occupied_Units]]/PortfolioData[[#This Row],[Units]])</f>
        <v>0.30882352941176472</v>
      </c>
      <c r="Q49" s="5">
        <f>PortfolioData[[#This Row],[Gross_Rental_Income]] - PortfolioData[[#This Row],[Operating_Cost]] - PortfolioData[[#This Row],[Maintenance_Cost]]</f>
        <v>2083054</v>
      </c>
      <c r="R49" s="5">
        <f>PortfolioData[[#This Row],[Adjusted_Debt_Outstanding]]*(PortfolioData[[#This Row],[Interest_Rate]]/100)</f>
        <v>724198.00080000004</v>
      </c>
      <c r="S49" s="5">
        <f>MIN(PortfolioData[[#This Row],[Debt_Outstanding]], PortfolioData[[#This Row],[Current_Value]]*0.8)</f>
        <v>9707748</v>
      </c>
      <c r="T49" s="5">
        <f>PortfolioData[[#This Row],[Net Operating Income (NOI)]]/PortfolioData[[#This Row],[Annual_Debt_Service]]</f>
        <v>2.8763597768827198</v>
      </c>
      <c r="U49" s="5">
        <f>PortfolioData[[#This Row],[Net Operating Income (NOI)]]-PortfolioData[[#This Row],[Annual_Debt_Service]]</f>
        <v>1358855.9992</v>
      </c>
      <c r="V49" s="5">
        <f>PortfolioData[[#This Row],[Net Operating Income (NOI)]]</f>
        <v>2083054</v>
      </c>
      <c r="W49" s="3">
        <f>PortfolioData[[#This Row],[Gross_Rental_Income]] / PortfolioData[[#This Row],[Purchase_Price]]</f>
        <v>0.18836048433257227</v>
      </c>
      <c r="X49" s="3">
        <f>PortfolioData[[#This Row],[Net Operating Income (NOI)]]/PortfolioData[[#This Row],[Current_Value]]</f>
        <v>0.11191919023700407</v>
      </c>
      <c r="Y49" s="3">
        <f>(PortfolioData[[#This Row],[Current_Value]]-PortfolioData[[#This Row],[Purchase_Price]]+PortfolioData[[#This Row],[Net Operating Income (NOI)]]) / PortfolioData[[#This Row],[Purchase_Price]]</f>
        <v>0.21919572838050977</v>
      </c>
      <c r="Z49" s="5">
        <f>_xlfn.PERCENTRANK.INC(PortfolioData[ROI],PortfolioData[[#This Row],[ROI]])</f>
        <v>0.47599999999999998</v>
      </c>
      <c r="AA49" s="3" t="str">
        <f>IF(PortfolioData[[#This Row],[ROI_Percentile]]&lt;=0.1,"Underperforming","Healthy")</f>
        <v>Healthy</v>
      </c>
      <c r="AB49" s="3">
        <f>PortfolioData[[#This Row],[Debt_Outstanding]]/PortfolioData[[#This Row],[Current_Value]]</f>
        <v>0.52158191539196574</v>
      </c>
      <c r="AC49">
        <f>PortfolioData[[#This Row],[Units]]*PortfolioData[[#This Row],[Avg_Rent_per_Unit]]*12</f>
        <v>4625904</v>
      </c>
      <c r="AD49" s="13">
        <f>PortfolioData[[#This Row],[Potential_Revenue]]-PortfolioData[[#This Row],[Gross_Rental_Income]]</f>
        <v>1428588</v>
      </c>
      <c r="AE49" s="3">
        <f>IFERROR(PortfolioData[[#This Row],[Vacancy_Loss]]/PortfolioData[[#This Row],[Potential_Revenue]],0)</f>
        <v>0.30882352941176472</v>
      </c>
      <c r="AF49" s="17">
        <f xml:space="preserve"> (PortfolioData[[#This Row],[Vacancy_%]] * 0.4) + (PortfolioData[[#This Row],[Debt_Ratio]] * 0.3) + (PortfolioData[[#This Row],[Interest_Rate]]/100 * 0.3)</f>
        <v>0.30238398638229563</v>
      </c>
    </row>
    <row r="50" spans="1:32" x14ac:dyDescent="0.3">
      <c r="A50" t="s">
        <v>114</v>
      </c>
      <c r="B50" t="s">
        <v>15</v>
      </c>
      <c r="C50" t="s">
        <v>16</v>
      </c>
      <c r="D50">
        <v>2012</v>
      </c>
      <c r="E50">
        <v>11150503</v>
      </c>
      <c r="F50">
        <v>14479829.83</v>
      </c>
      <c r="G50">
        <v>10</v>
      </c>
      <c r="H50">
        <v>7</v>
      </c>
      <c r="I50">
        <v>3501</v>
      </c>
      <c r="J50">
        <v>500262</v>
      </c>
      <c r="K50">
        <v>237864</v>
      </c>
      <c r="L50">
        <v>8162158</v>
      </c>
      <c r="M50">
        <v>3.89</v>
      </c>
      <c r="N50" t="s">
        <v>17</v>
      </c>
      <c r="O50" s="5">
        <f>PortfolioData[[#This Row],[Occupied_Units]]*PortfolioData[[#This Row],[Avg_Rent_per_Unit]]*12</f>
        <v>294084</v>
      </c>
      <c r="P50" s="3">
        <f>1-(PortfolioData[[#This Row],[Occupied_Units]]/PortfolioData[[#This Row],[Units]])</f>
        <v>0.30000000000000004</v>
      </c>
      <c r="Q50" s="5">
        <f>PortfolioData[[#This Row],[Gross_Rental_Income]] - PortfolioData[[#This Row],[Operating_Cost]] - PortfolioData[[#This Row],[Maintenance_Cost]]</f>
        <v>-444042</v>
      </c>
      <c r="R50" s="5">
        <f>PortfolioData[[#This Row],[Adjusted_Debt_Outstanding]]*(PortfolioData[[#This Row],[Interest_Rate]]/100)</f>
        <v>317507.94620000001</v>
      </c>
      <c r="S50" s="5">
        <f>MIN(PortfolioData[[#This Row],[Debt_Outstanding]], PortfolioData[[#This Row],[Current_Value]]*0.8)</f>
        <v>8162158</v>
      </c>
      <c r="T50" s="5">
        <f>PortfolioData[[#This Row],[Net Operating Income (NOI)]]/PortfolioData[[#This Row],[Annual_Debt_Service]]</f>
        <v>-1.3985224789312689</v>
      </c>
      <c r="U50" s="5">
        <f>PortfolioData[[#This Row],[Net Operating Income (NOI)]]-PortfolioData[[#This Row],[Annual_Debt_Service]]</f>
        <v>-761549.94620000001</v>
      </c>
      <c r="V50" s="5">
        <f>PortfolioData[[#This Row],[Net Operating Income (NOI)]]</f>
        <v>-444042</v>
      </c>
      <c r="W50" s="3">
        <f>PortfolioData[[#This Row],[Gross_Rental_Income]] / PortfolioData[[#This Row],[Purchase_Price]]</f>
        <v>2.6374056847480332E-2</v>
      </c>
      <c r="X50" s="3">
        <f>PortfolioData[[#This Row],[Net Operating Income (NOI)]]/PortfolioData[[#This Row],[Current_Value]]</f>
        <v>-3.0666244369806934E-2</v>
      </c>
      <c r="Y50" s="3">
        <f>(PortfolioData[[#This Row],[Current_Value]]-PortfolioData[[#This Row],[Purchase_Price]]+PortfolioData[[#This Row],[Net Operating Income (NOI)]]) / PortfolioData[[#This Row],[Purchase_Price]]</f>
        <v>0.25875826677953451</v>
      </c>
      <c r="Z50" s="5">
        <f>_xlfn.PERCENTRANK.INC(PortfolioData[ROI],PortfolioData[[#This Row],[ROI]])</f>
        <v>0.57699999999999996</v>
      </c>
      <c r="AA50" s="3" t="str">
        <f>IF(PortfolioData[[#This Row],[ROI_Percentile]]&lt;=0.1,"Underperforming","Healthy")</f>
        <v>Healthy</v>
      </c>
      <c r="AB50" s="3">
        <f>PortfolioData[[#This Row],[Debt_Outstanding]]/PortfolioData[[#This Row],[Current_Value]]</f>
        <v>0.56369156929518971</v>
      </c>
      <c r="AC50">
        <f>PortfolioData[[#This Row],[Units]]*PortfolioData[[#This Row],[Avg_Rent_per_Unit]]*12</f>
        <v>420120</v>
      </c>
      <c r="AD50" s="13">
        <f>PortfolioData[[#This Row],[Potential_Revenue]]-PortfolioData[[#This Row],[Gross_Rental_Income]]</f>
        <v>126036</v>
      </c>
      <c r="AE50" s="3">
        <f>IFERROR(PortfolioData[[#This Row],[Vacancy_Loss]]/PortfolioData[[#This Row],[Potential_Revenue]],0)</f>
        <v>0.3</v>
      </c>
      <c r="AF50" s="17">
        <f xml:space="preserve"> (PortfolioData[[#This Row],[Vacancy_%]] * 0.4) + (PortfolioData[[#This Row],[Debt_Ratio]] * 0.3) + (PortfolioData[[#This Row],[Interest_Rate]]/100 * 0.3)</f>
        <v>0.30077747078855693</v>
      </c>
    </row>
    <row r="51" spans="1:32" x14ac:dyDescent="0.3">
      <c r="A51" t="s">
        <v>146</v>
      </c>
      <c r="B51" t="s">
        <v>35</v>
      </c>
      <c r="C51" t="s">
        <v>16</v>
      </c>
      <c r="D51">
        <v>2011</v>
      </c>
      <c r="E51">
        <v>23150380</v>
      </c>
      <c r="F51">
        <v>22817112.030000001</v>
      </c>
      <c r="G51">
        <v>11</v>
      </c>
      <c r="H51">
        <v>7</v>
      </c>
      <c r="I51">
        <v>4535</v>
      </c>
      <c r="J51">
        <v>757042</v>
      </c>
      <c r="K51">
        <v>130819</v>
      </c>
      <c r="L51">
        <v>10166381</v>
      </c>
      <c r="M51">
        <v>7.1</v>
      </c>
      <c r="N51" t="s">
        <v>24</v>
      </c>
      <c r="O51" s="5">
        <f>PortfolioData[[#This Row],[Occupied_Units]]*PortfolioData[[#This Row],[Avg_Rent_per_Unit]]*12</f>
        <v>380940</v>
      </c>
      <c r="P51" s="3">
        <f>1-(PortfolioData[[#This Row],[Occupied_Units]]/PortfolioData[[#This Row],[Units]])</f>
        <v>0.36363636363636365</v>
      </c>
      <c r="Q51" s="5">
        <f>PortfolioData[[#This Row],[Gross_Rental_Income]] - PortfolioData[[#This Row],[Operating_Cost]] - PortfolioData[[#This Row],[Maintenance_Cost]]</f>
        <v>-506921</v>
      </c>
      <c r="R51" s="5">
        <f>PortfolioData[[#This Row],[Adjusted_Debt_Outstanding]]*(PortfolioData[[#This Row],[Interest_Rate]]/100)</f>
        <v>721813.05099999998</v>
      </c>
      <c r="S51" s="5">
        <f>MIN(PortfolioData[[#This Row],[Debt_Outstanding]], PortfolioData[[#This Row],[Current_Value]]*0.8)</f>
        <v>10166381</v>
      </c>
      <c r="T51" s="5">
        <f>PortfolioData[[#This Row],[Net Operating Income (NOI)]]/PortfolioData[[#This Row],[Annual_Debt_Service]]</f>
        <v>-0.70228849325696108</v>
      </c>
      <c r="U51" s="5">
        <f>PortfolioData[[#This Row],[Net Operating Income (NOI)]]-PortfolioData[[#This Row],[Annual_Debt_Service]]</f>
        <v>-1228734.051</v>
      </c>
      <c r="V51" s="5">
        <f>PortfolioData[[#This Row],[Net Operating Income (NOI)]]</f>
        <v>-506921</v>
      </c>
      <c r="W51" s="3">
        <f>PortfolioData[[#This Row],[Gross_Rental_Income]] / PortfolioData[[#This Row],[Purchase_Price]]</f>
        <v>1.6455021472649694E-2</v>
      </c>
      <c r="X51" s="3">
        <f>PortfolioData[[#This Row],[Net Operating Income (NOI)]]/PortfolioData[[#This Row],[Current_Value]]</f>
        <v>-2.2216702943540747E-2</v>
      </c>
      <c r="Y51" s="3">
        <f>(PortfolioData[[#This Row],[Current_Value]]-PortfolioData[[#This Row],[Purchase_Price]]+PortfolioData[[#This Row],[Net Operating Income (NOI)]]) / PortfolioData[[#This Row],[Purchase_Price]]</f>
        <v>-3.6292664310477792E-2</v>
      </c>
      <c r="Z51" s="5">
        <f>_xlfn.PERCENTRANK.INC(PortfolioData[ROI],PortfolioData[[#This Row],[ROI]])</f>
        <v>0.1</v>
      </c>
      <c r="AA51" s="3" t="str">
        <f>IF(PortfolioData[[#This Row],[ROI_Percentile]]&lt;=0.1,"Underperforming","Healthy")</f>
        <v>Underperforming</v>
      </c>
      <c r="AB51" s="3">
        <f>PortfolioData[[#This Row],[Debt_Outstanding]]/PortfolioData[[#This Row],[Current_Value]]</f>
        <v>0.445559498793415</v>
      </c>
      <c r="AC51">
        <f>PortfolioData[[#This Row],[Units]]*PortfolioData[[#This Row],[Avg_Rent_per_Unit]]*12</f>
        <v>598620</v>
      </c>
      <c r="AD51" s="13">
        <f>PortfolioData[[#This Row],[Potential_Revenue]]-PortfolioData[[#This Row],[Gross_Rental_Income]]</f>
        <v>217680</v>
      </c>
      <c r="AE51" s="3">
        <f>IFERROR(PortfolioData[[#This Row],[Vacancy_Loss]]/PortfolioData[[#This Row],[Potential_Revenue]],0)</f>
        <v>0.36363636363636365</v>
      </c>
      <c r="AF51" s="17">
        <f xml:space="preserve"> (PortfolioData[[#This Row],[Vacancy_%]] * 0.4) + (PortfolioData[[#This Row],[Debt_Ratio]] * 0.3) + (PortfolioData[[#This Row],[Interest_Rate]]/100 * 0.3)</f>
        <v>0.30042239509256996</v>
      </c>
    </row>
    <row r="52" spans="1:32" x14ac:dyDescent="0.3">
      <c r="A52" t="s">
        <v>108</v>
      </c>
      <c r="B52" t="s">
        <v>27</v>
      </c>
      <c r="C52" t="s">
        <v>20</v>
      </c>
      <c r="D52">
        <v>2015</v>
      </c>
      <c r="E52">
        <v>13517532</v>
      </c>
      <c r="F52">
        <v>14089939.109999999</v>
      </c>
      <c r="G52">
        <v>32</v>
      </c>
      <c r="H52">
        <v>22</v>
      </c>
      <c r="I52">
        <v>4907</v>
      </c>
      <c r="J52">
        <v>584837</v>
      </c>
      <c r="K52">
        <v>373690</v>
      </c>
      <c r="L52">
        <v>7343308</v>
      </c>
      <c r="M52">
        <v>5.99</v>
      </c>
      <c r="N52" t="s">
        <v>17</v>
      </c>
      <c r="O52" s="5">
        <f>PortfolioData[[#This Row],[Occupied_Units]]*PortfolioData[[#This Row],[Avg_Rent_per_Unit]]*12</f>
        <v>1295448</v>
      </c>
      <c r="P52" s="3">
        <f>1-(PortfolioData[[#This Row],[Occupied_Units]]/PortfolioData[[#This Row],[Units]])</f>
        <v>0.3125</v>
      </c>
      <c r="Q52" s="5">
        <f>PortfolioData[[#This Row],[Gross_Rental_Income]] - PortfolioData[[#This Row],[Operating_Cost]] - PortfolioData[[#This Row],[Maintenance_Cost]]</f>
        <v>336921</v>
      </c>
      <c r="R52" s="5">
        <f>PortfolioData[[#This Row],[Adjusted_Debt_Outstanding]]*(PortfolioData[[#This Row],[Interest_Rate]]/100)</f>
        <v>439864.14919999999</v>
      </c>
      <c r="S52" s="5">
        <f>MIN(PortfolioData[[#This Row],[Debt_Outstanding]], PortfolioData[[#This Row],[Current_Value]]*0.8)</f>
        <v>7343308</v>
      </c>
      <c r="T52" s="5">
        <f>PortfolioData[[#This Row],[Net Operating Income (NOI)]]/PortfolioData[[#This Row],[Annual_Debt_Service]]</f>
        <v>0.76596603886170955</v>
      </c>
      <c r="U52" s="5">
        <f>PortfolioData[[#This Row],[Net Operating Income (NOI)]]-PortfolioData[[#This Row],[Annual_Debt_Service]]</f>
        <v>-102943.14919999999</v>
      </c>
      <c r="V52" s="5">
        <f>PortfolioData[[#This Row],[Net Operating Income (NOI)]]</f>
        <v>336921</v>
      </c>
      <c r="W52" s="3">
        <f>PortfolioData[[#This Row],[Gross_Rental_Income]] / PortfolioData[[#This Row],[Purchase_Price]]</f>
        <v>9.5834653840656717E-2</v>
      </c>
      <c r="X52" s="3">
        <f>PortfolioData[[#This Row],[Net Operating Income (NOI)]]/PortfolioData[[#This Row],[Current_Value]]</f>
        <v>2.3912168631082184E-2</v>
      </c>
      <c r="Y52" s="3">
        <f>(PortfolioData[[#This Row],[Current_Value]]-PortfolioData[[#This Row],[Purchase_Price]]+PortfolioData[[#This Row],[Net Operating Income (NOI)]]) / PortfolioData[[#This Row],[Purchase_Price]]</f>
        <v>6.7270276112532917E-2</v>
      </c>
      <c r="Z52" s="5">
        <f>_xlfn.PERCENTRANK.INC(PortfolioData[ROI],PortfolioData[[#This Row],[ROI]])</f>
        <v>0.248</v>
      </c>
      <c r="AA52" s="3" t="str">
        <f>IF(PortfolioData[[#This Row],[ROI_Percentile]]&lt;=0.1,"Underperforming","Healthy")</f>
        <v>Healthy</v>
      </c>
      <c r="AB52" s="3">
        <f>PortfolioData[[#This Row],[Debt_Outstanding]]/PortfolioData[[#This Row],[Current_Value]]</f>
        <v>0.52117386332693671</v>
      </c>
      <c r="AC52">
        <f>PortfolioData[[#This Row],[Units]]*PortfolioData[[#This Row],[Avg_Rent_per_Unit]]*12</f>
        <v>1884288</v>
      </c>
      <c r="AD52" s="13">
        <f>PortfolioData[[#This Row],[Potential_Revenue]]-PortfolioData[[#This Row],[Gross_Rental_Income]]</f>
        <v>588840</v>
      </c>
      <c r="AE52" s="3">
        <f>IFERROR(PortfolioData[[#This Row],[Vacancy_Loss]]/PortfolioData[[#This Row],[Potential_Revenue]],0)</f>
        <v>0.3125</v>
      </c>
      <c r="AF52" s="17">
        <f xml:space="preserve"> (PortfolioData[[#This Row],[Vacancy_%]] * 0.4) + (PortfolioData[[#This Row],[Debt_Ratio]] * 0.3) + (PortfolioData[[#This Row],[Interest_Rate]]/100 * 0.3)</f>
        <v>0.29932215899808096</v>
      </c>
    </row>
    <row r="53" spans="1:32" x14ac:dyDescent="0.3">
      <c r="A53" t="s">
        <v>113</v>
      </c>
      <c r="B53" t="s">
        <v>27</v>
      </c>
      <c r="C53" t="s">
        <v>20</v>
      </c>
      <c r="D53">
        <v>2021</v>
      </c>
      <c r="E53">
        <v>11169035</v>
      </c>
      <c r="F53">
        <v>10812573.98</v>
      </c>
      <c r="G53">
        <v>57</v>
      </c>
      <c r="H53">
        <v>56</v>
      </c>
      <c r="I53">
        <v>1644</v>
      </c>
      <c r="J53">
        <v>210104</v>
      </c>
      <c r="K53">
        <v>368410</v>
      </c>
      <c r="L53">
        <v>9578059</v>
      </c>
      <c r="M53">
        <v>6.84</v>
      </c>
      <c r="N53" t="s">
        <v>24</v>
      </c>
      <c r="O53" s="5">
        <f>PortfolioData[[#This Row],[Occupied_Units]]*PortfolioData[[#This Row],[Avg_Rent_per_Unit]]*12</f>
        <v>1104768</v>
      </c>
      <c r="P53" s="3">
        <f>1-(PortfolioData[[#This Row],[Occupied_Units]]/PortfolioData[[#This Row],[Units]])</f>
        <v>1.7543859649122862E-2</v>
      </c>
      <c r="Q53" s="5">
        <f>PortfolioData[[#This Row],[Gross_Rental_Income]] - PortfolioData[[#This Row],[Operating_Cost]] - PortfolioData[[#This Row],[Maintenance_Cost]]</f>
        <v>526254</v>
      </c>
      <c r="R53" s="5">
        <f>PortfolioData[[#This Row],[Adjusted_Debt_Outstanding]]*(PortfolioData[[#This Row],[Interest_Rate]]/100)</f>
        <v>591664.04818560008</v>
      </c>
      <c r="S53" s="5">
        <f>MIN(PortfolioData[[#This Row],[Debt_Outstanding]], PortfolioData[[#This Row],[Current_Value]]*0.8)</f>
        <v>8650059.1840000004</v>
      </c>
      <c r="T53" s="5">
        <f>PortfolioData[[#This Row],[Net Operating Income (NOI)]]/PortfolioData[[#This Row],[Annual_Debt_Service]]</f>
        <v>0.88944731662133791</v>
      </c>
      <c r="U53" s="5">
        <f>PortfolioData[[#This Row],[Net Operating Income (NOI)]]-PortfolioData[[#This Row],[Annual_Debt_Service]]</f>
        <v>-65410.048185600084</v>
      </c>
      <c r="V53" s="5">
        <f>PortfolioData[[#This Row],[Net Operating Income (NOI)]]</f>
        <v>526254</v>
      </c>
      <c r="W53" s="3">
        <f>PortfolioData[[#This Row],[Gross_Rental_Income]] / PortfolioData[[#This Row],[Purchase_Price]]</f>
        <v>9.8913469247790875E-2</v>
      </c>
      <c r="X53" s="3">
        <f>PortfolioData[[#This Row],[Net Operating Income (NOI)]]/PortfolioData[[#This Row],[Current_Value]]</f>
        <v>4.8670557165519615E-2</v>
      </c>
      <c r="Y53" s="3">
        <f>(PortfolioData[[#This Row],[Current_Value]]-PortfolioData[[#This Row],[Purchase_Price]]+PortfolioData[[#This Row],[Net Operating Income (NOI)]]) / PortfolioData[[#This Row],[Purchase_Price]]</f>
        <v>1.5202117282289871E-2</v>
      </c>
      <c r="Z53" s="5">
        <f>_xlfn.PERCENTRANK.INC(PortfolioData[ROI],PortfolioData[[#This Row],[ROI]])</f>
        <v>0.18099999999999999</v>
      </c>
      <c r="AA53" s="3" t="str">
        <f>IF(PortfolioData[[#This Row],[ROI_Percentile]]&lt;=0.1,"Underperforming","Healthy")</f>
        <v>Healthy</v>
      </c>
      <c r="AB53" s="3">
        <f>PortfolioData[[#This Row],[Debt_Outstanding]]/PortfolioData[[#This Row],[Current_Value]]</f>
        <v>0.88582598534969748</v>
      </c>
      <c r="AC53">
        <f>PortfolioData[[#This Row],[Units]]*PortfolioData[[#This Row],[Avg_Rent_per_Unit]]*12</f>
        <v>1124496</v>
      </c>
      <c r="AD53" s="13">
        <f>PortfolioData[[#This Row],[Potential_Revenue]]-PortfolioData[[#This Row],[Gross_Rental_Income]]</f>
        <v>19728</v>
      </c>
      <c r="AE53" s="3">
        <f>IFERROR(PortfolioData[[#This Row],[Vacancy_Loss]]/PortfolioData[[#This Row],[Potential_Revenue]],0)</f>
        <v>1.7543859649122806E-2</v>
      </c>
      <c r="AF53" s="17">
        <f xml:space="preserve"> (PortfolioData[[#This Row],[Vacancy_%]] * 0.4) + (PortfolioData[[#This Row],[Debt_Ratio]] * 0.3) + (PortfolioData[[#This Row],[Interest_Rate]]/100 * 0.3)</f>
        <v>0.29328533946455837</v>
      </c>
    </row>
    <row r="54" spans="1:32" x14ac:dyDescent="0.3">
      <c r="A54" t="s">
        <v>162</v>
      </c>
      <c r="B54" t="s">
        <v>15</v>
      </c>
      <c r="C54" t="s">
        <v>30</v>
      </c>
      <c r="D54">
        <v>2011</v>
      </c>
      <c r="E54">
        <v>11457870</v>
      </c>
      <c r="F54">
        <v>10956826.34</v>
      </c>
      <c r="G54">
        <v>42</v>
      </c>
      <c r="H54">
        <v>41</v>
      </c>
      <c r="I54">
        <v>3798</v>
      </c>
      <c r="J54">
        <v>443616</v>
      </c>
      <c r="K54">
        <v>211393</v>
      </c>
      <c r="L54">
        <v>9611746</v>
      </c>
      <c r="M54">
        <v>6.08</v>
      </c>
      <c r="N54" t="s">
        <v>17</v>
      </c>
      <c r="O54" s="5">
        <f>PortfolioData[[#This Row],[Occupied_Units]]*PortfolioData[[#This Row],[Avg_Rent_per_Unit]]*12</f>
        <v>1868616</v>
      </c>
      <c r="P54" s="3">
        <f>1-(PortfolioData[[#This Row],[Occupied_Units]]/PortfolioData[[#This Row],[Units]])</f>
        <v>2.3809523809523836E-2</v>
      </c>
      <c r="Q54" s="5">
        <f>PortfolioData[[#This Row],[Gross_Rental_Income]] - PortfolioData[[#This Row],[Operating_Cost]] - PortfolioData[[#This Row],[Maintenance_Cost]]</f>
        <v>1213607</v>
      </c>
      <c r="R54" s="5">
        <f>PortfolioData[[#This Row],[Adjusted_Debt_Outstanding]]*(PortfolioData[[#This Row],[Interest_Rate]]/100)</f>
        <v>532940.03317760001</v>
      </c>
      <c r="S54" s="5">
        <f>MIN(PortfolioData[[#This Row],[Debt_Outstanding]], PortfolioData[[#This Row],[Current_Value]]*0.8)</f>
        <v>8765461.0720000006</v>
      </c>
      <c r="T54" s="5">
        <f>PortfolioData[[#This Row],[Net Operating Income (NOI)]]/PortfolioData[[#This Row],[Annual_Debt_Service]]</f>
        <v>2.2771924127448138</v>
      </c>
      <c r="U54" s="5">
        <f>PortfolioData[[#This Row],[Net Operating Income (NOI)]]-PortfolioData[[#This Row],[Annual_Debt_Service]]</f>
        <v>680666.96682239999</v>
      </c>
      <c r="V54" s="5">
        <f>PortfolioData[[#This Row],[Net Operating Income (NOI)]]</f>
        <v>1213607</v>
      </c>
      <c r="W54" s="3">
        <f>PortfolioData[[#This Row],[Gross_Rental_Income]] / PortfolioData[[#This Row],[Purchase_Price]]</f>
        <v>0.16308580914253695</v>
      </c>
      <c r="X54" s="3">
        <f>PortfolioData[[#This Row],[Net Operating Income (NOI)]]/PortfolioData[[#This Row],[Current_Value]]</f>
        <v>0.11076263895590774</v>
      </c>
      <c r="Y54" s="3">
        <f>(PortfolioData[[#This Row],[Current_Value]]-PortfolioData[[#This Row],[Purchase_Price]]+PortfolioData[[#This Row],[Net Operating Income (NOI)]]) / PortfolioData[[#This Row],[Purchase_Price]]</f>
        <v>6.2189860768188138E-2</v>
      </c>
      <c r="Z54" s="5">
        <f>_xlfn.PERCENTRANK.INC(PortfolioData[ROI],PortfolioData[[#This Row],[ROI]])</f>
        <v>0.24099999999999999</v>
      </c>
      <c r="AA54" s="3" t="str">
        <f>IF(PortfolioData[[#This Row],[ROI_Percentile]]&lt;=0.1,"Underperforming","Healthy")</f>
        <v>Healthy</v>
      </c>
      <c r="AB54" s="3">
        <f>PortfolioData[[#This Row],[Debt_Outstanding]]/PortfolioData[[#This Row],[Current_Value]]</f>
        <v>0.87723814375979237</v>
      </c>
      <c r="AC54">
        <f>PortfolioData[[#This Row],[Units]]*PortfolioData[[#This Row],[Avg_Rent_per_Unit]]*12</f>
        <v>1914192</v>
      </c>
      <c r="AD54" s="13">
        <f>PortfolioData[[#This Row],[Potential_Revenue]]-PortfolioData[[#This Row],[Gross_Rental_Income]]</f>
        <v>45576</v>
      </c>
      <c r="AE54" s="3">
        <f>IFERROR(PortfolioData[[#This Row],[Vacancy_Loss]]/PortfolioData[[#This Row],[Potential_Revenue]],0)</f>
        <v>2.3809523809523808E-2</v>
      </c>
      <c r="AF54" s="17">
        <f xml:space="preserve"> (PortfolioData[[#This Row],[Vacancy_%]] * 0.4) + (PortfolioData[[#This Row],[Debt_Ratio]] * 0.3) + (PortfolioData[[#This Row],[Interest_Rate]]/100 * 0.3)</f>
        <v>0.29093525265174724</v>
      </c>
    </row>
    <row r="55" spans="1:32" x14ac:dyDescent="0.3">
      <c r="A55" t="s">
        <v>110</v>
      </c>
      <c r="B55" t="s">
        <v>19</v>
      </c>
      <c r="C55" t="s">
        <v>23</v>
      </c>
      <c r="D55">
        <v>2021</v>
      </c>
      <c r="E55">
        <v>11002318</v>
      </c>
      <c r="F55">
        <v>12157590.68</v>
      </c>
      <c r="G55">
        <v>80</v>
      </c>
      <c r="H55">
        <v>66</v>
      </c>
      <c r="I55">
        <v>2245</v>
      </c>
      <c r="J55">
        <v>684469</v>
      </c>
      <c r="K55">
        <v>354192</v>
      </c>
      <c r="L55">
        <v>8293939</v>
      </c>
      <c r="M55">
        <v>5.32</v>
      </c>
      <c r="N55" t="s">
        <v>24</v>
      </c>
      <c r="O55" s="5">
        <f>PortfolioData[[#This Row],[Occupied_Units]]*PortfolioData[[#This Row],[Avg_Rent_per_Unit]]*12</f>
        <v>1778040</v>
      </c>
      <c r="P55" s="3">
        <f>1-(PortfolioData[[#This Row],[Occupied_Units]]/PortfolioData[[#This Row],[Units]])</f>
        <v>0.17500000000000004</v>
      </c>
      <c r="Q55" s="5">
        <f>PortfolioData[[#This Row],[Gross_Rental_Income]] - PortfolioData[[#This Row],[Operating_Cost]] - PortfolioData[[#This Row],[Maintenance_Cost]]</f>
        <v>739379</v>
      </c>
      <c r="R55" s="5">
        <f>PortfolioData[[#This Row],[Adjusted_Debt_Outstanding]]*(PortfolioData[[#This Row],[Interest_Rate]]/100)</f>
        <v>441237.55480000004</v>
      </c>
      <c r="S55" s="5">
        <f>MIN(PortfolioData[[#This Row],[Debt_Outstanding]], PortfolioData[[#This Row],[Current_Value]]*0.8)</f>
        <v>8293939</v>
      </c>
      <c r="T55" s="5">
        <f>PortfolioData[[#This Row],[Net Operating Income (NOI)]]/PortfolioData[[#This Row],[Annual_Debt_Service]]</f>
        <v>1.6756937208917737</v>
      </c>
      <c r="U55" s="5">
        <f>PortfolioData[[#This Row],[Net Operating Income (NOI)]]-PortfolioData[[#This Row],[Annual_Debt_Service]]</f>
        <v>298141.44519999996</v>
      </c>
      <c r="V55" s="5">
        <f>PortfolioData[[#This Row],[Net Operating Income (NOI)]]</f>
        <v>739379</v>
      </c>
      <c r="W55" s="3">
        <f>PortfolioData[[#This Row],[Gross_Rental_Income]] / PortfolioData[[#This Row],[Purchase_Price]]</f>
        <v>0.16160594521990729</v>
      </c>
      <c r="X55" s="3">
        <f>PortfolioData[[#This Row],[Net Operating Income (NOI)]]/PortfolioData[[#This Row],[Current_Value]]</f>
        <v>6.0816243897429852E-2</v>
      </c>
      <c r="Y55" s="3">
        <f>(PortfolioData[[#This Row],[Current_Value]]-PortfolioData[[#This Row],[Purchase_Price]]+PortfolioData[[#This Row],[Net Operating Income (NOI)]]) / PortfolioData[[#This Row],[Purchase_Price]]</f>
        <v>0.17220477357589553</v>
      </c>
      <c r="Z55" s="5">
        <f>_xlfn.PERCENTRANK.INC(PortfolioData[ROI],PortfolioData[[#This Row],[ROI]])</f>
        <v>0.42199999999999999</v>
      </c>
      <c r="AA55" s="3" t="str">
        <f>IF(PortfolioData[[#This Row],[ROI_Percentile]]&lt;=0.1,"Underperforming","Healthy")</f>
        <v>Healthy</v>
      </c>
      <c r="AB55" s="3">
        <f>PortfolioData[[#This Row],[Debt_Outstanding]]/PortfolioData[[#This Row],[Current_Value]]</f>
        <v>0.68220252008023685</v>
      </c>
      <c r="AC55">
        <f>PortfolioData[[#This Row],[Units]]*PortfolioData[[#This Row],[Avg_Rent_per_Unit]]*12</f>
        <v>2155200</v>
      </c>
      <c r="AD55" s="13">
        <f>PortfolioData[[#This Row],[Potential_Revenue]]-PortfolioData[[#This Row],[Gross_Rental_Income]]</f>
        <v>377160</v>
      </c>
      <c r="AE55" s="3">
        <f>IFERROR(PortfolioData[[#This Row],[Vacancy_Loss]]/PortfolioData[[#This Row],[Potential_Revenue]],0)</f>
        <v>0.17499999999999999</v>
      </c>
      <c r="AF55" s="17">
        <f xml:space="preserve"> (PortfolioData[[#This Row],[Vacancy_%]] * 0.4) + (PortfolioData[[#This Row],[Debt_Ratio]] * 0.3) + (PortfolioData[[#This Row],[Interest_Rate]]/100 * 0.3)</f>
        <v>0.29062075602407111</v>
      </c>
    </row>
    <row r="56" spans="1:32" x14ac:dyDescent="0.3">
      <c r="A56" t="s">
        <v>112</v>
      </c>
      <c r="B56" t="s">
        <v>22</v>
      </c>
      <c r="C56" t="s">
        <v>16</v>
      </c>
      <c r="D56">
        <v>2012</v>
      </c>
      <c r="E56">
        <v>13911567</v>
      </c>
      <c r="F56">
        <v>17962089.59</v>
      </c>
      <c r="G56">
        <v>21</v>
      </c>
      <c r="H56">
        <v>19</v>
      </c>
      <c r="I56">
        <v>1816</v>
      </c>
      <c r="J56">
        <v>373749</v>
      </c>
      <c r="K56">
        <v>437221</v>
      </c>
      <c r="L56">
        <v>13809331</v>
      </c>
      <c r="M56">
        <v>6.15</v>
      </c>
      <c r="N56" t="s">
        <v>17</v>
      </c>
      <c r="O56" s="5">
        <f>PortfolioData[[#This Row],[Occupied_Units]]*PortfolioData[[#This Row],[Avg_Rent_per_Unit]]*12</f>
        <v>414048</v>
      </c>
      <c r="P56" s="3">
        <f>1-(PortfolioData[[#This Row],[Occupied_Units]]/PortfolioData[[#This Row],[Units]])</f>
        <v>9.5238095238095233E-2</v>
      </c>
      <c r="Q56" s="5">
        <f>PortfolioData[[#This Row],[Gross_Rental_Income]] - PortfolioData[[#This Row],[Operating_Cost]] - PortfolioData[[#This Row],[Maintenance_Cost]]</f>
        <v>-396922</v>
      </c>
      <c r="R56" s="5">
        <f>PortfolioData[[#This Row],[Adjusted_Debt_Outstanding]]*(PortfolioData[[#This Row],[Interest_Rate]]/100)</f>
        <v>849273.85650000011</v>
      </c>
      <c r="S56" s="5">
        <f>MIN(PortfolioData[[#This Row],[Debt_Outstanding]], PortfolioData[[#This Row],[Current_Value]]*0.8)</f>
        <v>13809331</v>
      </c>
      <c r="T56" s="5">
        <f>PortfolioData[[#This Row],[Net Operating Income (NOI)]]/PortfolioData[[#This Row],[Annual_Debt_Service]]</f>
        <v>-0.46736632355054714</v>
      </c>
      <c r="U56" s="5">
        <f>PortfolioData[[#This Row],[Net Operating Income (NOI)]]-PortfolioData[[#This Row],[Annual_Debt_Service]]</f>
        <v>-1246195.8565000002</v>
      </c>
      <c r="V56" s="5">
        <f>PortfolioData[[#This Row],[Net Operating Income (NOI)]]</f>
        <v>-396922</v>
      </c>
      <c r="W56" s="3">
        <f>PortfolioData[[#This Row],[Gross_Rental_Income]] / PortfolioData[[#This Row],[Purchase_Price]]</f>
        <v>2.9762858490348355E-2</v>
      </c>
      <c r="X56" s="3">
        <f>PortfolioData[[#This Row],[Net Operating Income (NOI)]]/PortfolioData[[#This Row],[Current_Value]]</f>
        <v>-2.2097763069892359E-2</v>
      </c>
      <c r="Y56" s="3">
        <f>(PortfolioData[[#This Row],[Current_Value]]-PortfolioData[[#This Row],[Purchase_Price]]+PortfolioData[[#This Row],[Net Operating Income (NOI)]]) / PortfolioData[[#This Row],[Purchase_Price]]</f>
        <v>0.26263041323813485</v>
      </c>
      <c r="Z56" s="5">
        <f>_xlfn.PERCENTRANK.INC(PortfolioData[ROI],PortfolioData[[#This Row],[ROI]])</f>
        <v>0.59</v>
      </c>
      <c r="AA56" s="3" t="str">
        <f>IF(PortfolioData[[#This Row],[ROI_Percentile]]&lt;=0.1,"Underperforming","Healthy")</f>
        <v>Healthy</v>
      </c>
      <c r="AB56" s="3">
        <f>PortfolioData[[#This Row],[Debt_Outstanding]]/PortfolioData[[#This Row],[Current_Value]]</f>
        <v>0.76880426026201554</v>
      </c>
      <c r="AC56">
        <f>PortfolioData[[#This Row],[Units]]*PortfolioData[[#This Row],[Avg_Rent_per_Unit]]*12</f>
        <v>457632</v>
      </c>
      <c r="AD56" s="13">
        <f>PortfolioData[[#This Row],[Potential_Revenue]]-PortfolioData[[#This Row],[Gross_Rental_Income]]</f>
        <v>43584</v>
      </c>
      <c r="AE56" s="3">
        <f>IFERROR(PortfolioData[[#This Row],[Vacancy_Loss]]/PortfolioData[[#This Row],[Potential_Revenue]],0)</f>
        <v>9.5238095238095233E-2</v>
      </c>
      <c r="AF56" s="17">
        <f xml:space="preserve"> (PortfolioData[[#This Row],[Vacancy_%]] * 0.4) + (PortfolioData[[#This Row],[Debt_Ratio]] * 0.3) + (PortfolioData[[#This Row],[Interest_Rate]]/100 * 0.3)</f>
        <v>0.28718651617384278</v>
      </c>
    </row>
    <row r="57" spans="1:32" x14ac:dyDescent="0.3">
      <c r="A57" t="s">
        <v>107</v>
      </c>
      <c r="B57" t="s">
        <v>22</v>
      </c>
      <c r="C57" t="s">
        <v>20</v>
      </c>
      <c r="D57">
        <v>2015</v>
      </c>
      <c r="E57">
        <v>17831225</v>
      </c>
      <c r="F57">
        <v>23276573.989999998</v>
      </c>
      <c r="G57">
        <v>48</v>
      </c>
      <c r="H57">
        <v>33</v>
      </c>
      <c r="I57">
        <v>4617</v>
      </c>
      <c r="J57">
        <v>510137</v>
      </c>
      <c r="K57">
        <v>432581</v>
      </c>
      <c r="L57">
        <v>11481316</v>
      </c>
      <c r="M57">
        <v>3.83</v>
      </c>
      <c r="N57" t="s">
        <v>24</v>
      </c>
      <c r="O57" s="5">
        <f>PortfolioData[[#This Row],[Occupied_Units]]*PortfolioData[[#This Row],[Avg_Rent_per_Unit]]*12</f>
        <v>1828332</v>
      </c>
      <c r="P57" s="3">
        <f>1-(PortfolioData[[#This Row],[Occupied_Units]]/PortfolioData[[#This Row],[Units]])</f>
        <v>0.3125</v>
      </c>
      <c r="Q57" s="5">
        <f>PortfolioData[[#This Row],[Gross_Rental_Income]] - PortfolioData[[#This Row],[Operating_Cost]] - PortfolioData[[#This Row],[Maintenance_Cost]]</f>
        <v>885614</v>
      </c>
      <c r="R57" s="5">
        <f>PortfolioData[[#This Row],[Adjusted_Debt_Outstanding]]*(PortfolioData[[#This Row],[Interest_Rate]]/100)</f>
        <v>439734.40279999998</v>
      </c>
      <c r="S57" s="5">
        <f>MIN(PortfolioData[[#This Row],[Debt_Outstanding]], PortfolioData[[#This Row],[Current_Value]]*0.8)</f>
        <v>11481316</v>
      </c>
      <c r="T57" s="5">
        <f>PortfolioData[[#This Row],[Net Operating Income (NOI)]]/PortfolioData[[#This Row],[Annual_Debt_Service]]</f>
        <v>2.0139747865094719</v>
      </c>
      <c r="U57" s="5">
        <f>PortfolioData[[#This Row],[Net Operating Income (NOI)]]-PortfolioData[[#This Row],[Annual_Debt_Service]]</f>
        <v>445879.59720000002</v>
      </c>
      <c r="V57" s="5">
        <f>PortfolioData[[#This Row],[Net Operating Income (NOI)]]</f>
        <v>885614</v>
      </c>
      <c r="W57" s="3">
        <f>PortfolioData[[#This Row],[Gross_Rental_Income]] / PortfolioData[[#This Row],[Purchase_Price]]</f>
        <v>0.10253541189682705</v>
      </c>
      <c r="X57" s="3">
        <f>PortfolioData[[#This Row],[Net Operating Income (NOI)]]/PortfolioData[[#This Row],[Current_Value]]</f>
        <v>3.8047437753531706E-2</v>
      </c>
      <c r="Y57" s="3">
        <f>(PortfolioData[[#This Row],[Current_Value]]-PortfolioData[[#This Row],[Purchase_Price]]+PortfolioData[[#This Row],[Net Operating Income (NOI)]]) / PortfolioData[[#This Row],[Purchase_Price]]</f>
        <v>0.35504924591552167</v>
      </c>
      <c r="Z57" s="5">
        <f>_xlfn.PERCENTRANK.INC(PortfolioData[ROI],PortfolioData[[#This Row],[ROI]])</f>
        <v>0.79800000000000004</v>
      </c>
      <c r="AA57" s="3" t="str">
        <f>IF(PortfolioData[[#This Row],[ROI_Percentile]]&lt;=0.1,"Underperforming","Healthy")</f>
        <v>Healthy</v>
      </c>
      <c r="AB57" s="3">
        <f>PortfolioData[[#This Row],[Debt_Outstanding]]/PortfolioData[[#This Row],[Current_Value]]</f>
        <v>0.49325626722096488</v>
      </c>
      <c r="AC57">
        <f>PortfolioData[[#This Row],[Units]]*PortfolioData[[#This Row],[Avg_Rent_per_Unit]]*12</f>
        <v>2659392</v>
      </c>
      <c r="AD57" s="13">
        <f>PortfolioData[[#This Row],[Potential_Revenue]]-PortfolioData[[#This Row],[Gross_Rental_Income]]</f>
        <v>831060</v>
      </c>
      <c r="AE57" s="3">
        <f>IFERROR(PortfolioData[[#This Row],[Vacancy_Loss]]/PortfolioData[[#This Row],[Potential_Revenue]],0)</f>
        <v>0.3125</v>
      </c>
      <c r="AF57" s="17">
        <f xml:space="preserve"> (PortfolioData[[#This Row],[Vacancy_%]] * 0.4) + (PortfolioData[[#This Row],[Debt_Ratio]] * 0.3) + (PortfolioData[[#This Row],[Interest_Rate]]/100 * 0.3)</f>
        <v>0.28446688016628946</v>
      </c>
    </row>
    <row r="58" spans="1:32" x14ac:dyDescent="0.3">
      <c r="A58" t="s">
        <v>135</v>
      </c>
      <c r="B58" t="s">
        <v>19</v>
      </c>
      <c r="C58" t="s">
        <v>20</v>
      </c>
      <c r="D58">
        <v>2016</v>
      </c>
      <c r="E58">
        <v>12884163</v>
      </c>
      <c r="F58">
        <v>13327580.630000001</v>
      </c>
      <c r="G58">
        <v>60</v>
      </c>
      <c r="H58">
        <v>45</v>
      </c>
      <c r="I58">
        <v>1688</v>
      </c>
      <c r="J58">
        <v>510363</v>
      </c>
      <c r="K58">
        <v>206542</v>
      </c>
      <c r="L58">
        <v>7246167</v>
      </c>
      <c r="M58">
        <v>5.53</v>
      </c>
      <c r="N58" t="s">
        <v>17</v>
      </c>
      <c r="O58" s="5">
        <f>PortfolioData[[#This Row],[Occupied_Units]]*PortfolioData[[#This Row],[Avg_Rent_per_Unit]]*12</f>
        <v>911520</v>
      </c>
      <c r="P58" s="3">
        <f>1-(PortfolioData[[#This Row],[Occupied_Units]]/PortfolioData[[#This Row],[Units]])</f>
        <v>0.25</v>
      </c>
      <c r="Q58" s="5">
        <f>PortfolioData[[#This Row],[Gross_Rental_Income]] - PortfolioData[[#This Row],[Operating_Cost]] - PortfolioData[[#This Row],[Maintenance_Cost]]</f>
        <v>194615</v>
      </c>
      <c r="R58" s="5">
        <f>PortfolioData[[#This Row],[Adjusted_Debt_Outstanding]]*(PortfolioData[[#This Row],[Interest_Rate]]/100)</f>
        <v>400713.03510000004</v>
      </c>
      <c r="S58" s="5">
        <f>MIN(PortfolioData[[#This Row],[Debt_Outstanding]], PortfolioData[[#This Row],[Current_Value]]*0.8)</f>
        <v>7246167</v>
      </c>
      <c r="T58" s="5">
        <f>PortfolioData[[#This Row],[Net Operating Income (NOI)]]/PortfolioData[[#This Row],[Annual_Debt_Service]]</f>
        <v>0.48567174749239889</v>
      </c>
      <c r="U58" s="5">
        <f>PortfolioData[[#This Row],[Net Operating Income (NOI)]]-PortfolioData[[#This Row],[Annual_Debt_Service]]</f>
        <v>-206098.03510000004</v>
      </c>
      <c r="V58" s="5">
        <f>PortfolioData[[#This Row],[Net Operating Income (NOI)]]</f>
        <v>194615</v>
      </c>
      <c r="W58" s="3">
        <f>PortfolioData[[#This Row],[Gross_Rental_Income]] / PortfolioData[[#This Row],[Purchase_Price]]</f>
        <v>7.0747319790971291E-2</v>
      </c>
      <c r="X58" s="3">
        <f>PortfolioData[[#This Row],[Net Operating Income (NOI)]]/PortfolioData[[#This Row],[Current_Value]]</f>
        <v>1.46024252565336E-2</v>
      </c>
      <c r="Y58" s="3">
        <f>(PortfolioData[[#This Row],[Current_Value]]-PortfolioData[[#This Row],[Purchase_Price]]+PortfolioData[[#This Row],[Net Operating Income (NOI)]]) / PortfolioData[[#This Row],[Purchase_Price]]</f>
        <v>4.9520689081626865E-2</v>
      </c>
      <c r="Z58" s="5">
        <f>_xlfn.PERCENTRANK.INC(PortfolioData[ROI],PortfolioData[[#This Row],[ROI]])</f>
        <v>0.20100000000000001</v>
      </c>
      <c r="AA58" s="3" t="str">
        <f>IF(PortfolioData[[#This Row],[ROI_Percentile]]&lt;=0.1,"Underperforming","Healthy")</f>
        <v>Healthy</v>
      </c>
      <c r="AB58" s="3">
        <f>PortfolioData[[#This Row],[Debt_Outstanding]]/PortfolioData[[#This Row],[Current_Value]]</f>
        <v>0.54369710461095144</v>
      </c>
      <c r="AC58">
        <f>PortfolioData[[#This Row],[Units]]*PortfolioData[[#This Row],[Avg_Rent_per_Unit]]*12</f>
        <v>1215360</v>
      </c>
      <c r="AD58" s="13">
        <f>PortfolioData[[#This Row],[Potential_Revenue]]-PortfolioData[[#This Row],[Gross_Rental_Income]]</f>
        <v>303840</v>
      </c>
      <c r="AE58" s="3">
        <f>IFERROR(PortfolioData[[#This Row],[Vacancy_Loss]]/PortfolioData[[#This Row],[Potential_Revenue]],0)</f>
        <v>0.25</v>
      </c>
      <c r="AF58" s="17">
        <f xml:space="preserve"> (PortfolioData[[#This Row],[Vacancy_%]] * 0.4) + (PortfolioData[[#This Row],[Debt_Ratio]] * 0.3) + (PortfolioData[[#This Row],[Interest_Rate]]/100 * 0.3)</f>
        <v>0.27969913138328539</v>
      </c>
    </row>
    <row r="59" spans="1:32" x14ac:dyDescent="0.3">
      <c r="A59" t="s">
        <v>38</v>
      </c>
      <c r="B59" t="s">
        <v>22</v>
      </c>
      <c r="C59" t="s">
        <v>23</v>
      </c>
      <c r="D59">
        <v>2017</v>
      </c>
      <c r="E59">
        <v>9390601</v>
      </c>
      <c r="F59">
        <v>10750206.66</v>
      </c>
      <c r="G59">
        <v>31</v>
      </c>
      <c r="H59">
        <v>27</v>
      </c>
      <c r="I59">
        <v>4666</v>
      </c>
      <c r="J59">
        <v>504552</v>
      </c>
      <c r="K59">
        <v>192829</v>
      </c>
      <c r="L59">
        <v>7517159</v>
      </c>
      <c r="M59">
        <v>4.6399999999999997</v>
      </c>
      <c r="N59" t="s">
        <v>24</v>
      </c>
      <c r="O59" s="5">
        <f>PortfolioData[[#This Row],[Occupied_Units]]*PortfolioData[[#This Row],[Avg_Rent_per_Unit]]*12</f>
        <v>1511784</v>
      </c>
      <c r="P59" s="3">
        <f>1-(PortfolioData[[#This Row],[Occupied_Units]]/PortfolioData[[#This Row],[Units]])</f>
        <v>0.12903225806451613</v>
      </c>
      <c r="Q59" s="5">
        <f>PortfolioData[[#This Row],[Gross_Rental_Income]] - PortfolioData[[#This Row],[Operating_Cost]] - PortfolioData[[#This Row],[Maintenance_Cost]]</f>
        <v>814403</v>
      </c>
      <c r="R59" s="5">
        <f>PortfolioData[[#This Row],[Adjusted_Debt_Outstanding]]*(PortfolioData[[#This Row],[Interest_Rate]]/100)</f>
        <v>348796.1776</v>
      </c>
      <c r="S59" s="5">
        <f>MIN(PortfolioData[[#This Row],[Debt_Outstanding]], PortfolioData[[#This Row],[Current_Value]]*0.8)</f>
        <v>7517159</v>
      </c>
      <c r="T59" s="5">
        <f>PortfolioData[[#This Row],[Net Operating Income (NOI)]]/PortfolioData[[#This Row],[Annual_Debt_Service]]</f>
        <v>2.3348965737060303</v>
      </c>
      <c r="U59" s="5">
        <f>PortfolioData[[#This Row],[Net Operating Income (NOI)]]-PortfolioData[[#This Row],[Annual_Debt_Service]]</f>
        <v>465606.8224</v>
      </c>
      <c r="V59" s="5">
        <f>PortfolioData[[#This Row],[Net Operating Income (NOI)]]</f>
        <v>814403</v>
      </c>
      <c r="W59" s="3">
        <f>PortfolioData[[#This Row],[Gross_Rental_Income]] / PortfolioData[[#This Row],[Purchase_Price]]</f>
        <v>0.16098905703692448</v>
      </c>
      <c r="X59" s="3">
        <f>PortfolioData[[#This Row],[Net Operating Income (NOI)]]/PortfolioData[[#This Row],[Current_Value]]</f>
        <v>7.5756962238714767E-2</v>
      </c>
      <c r="Y59" s="3">
        <f>(PortfolioData[[#This Row],[Current_Value]]-PortfolioData[[#This Row],[Purchase_Price]]+PortfolioData[[#This Row],[Net Operating Income (NOI)]]) / PortfolioData[[#This Row],[Purchase_Price]]</f>
        <v>0.2315090013940535</v>
      </c>
      <c r="Z59" s="5">
        <f>_xlfn.PERCENTRANK.INC(PortfolioData[ROI],PortfolioData[[#This Row],[ROI]])</f>
        <v>0.51</v>
      </c>
      <c r="AA59" s="3" t="str">
        <f>IF(PortfolioData[[#This Row],[ROI_Percentile]]&lt;=0.1,"Underperforming","Healthy")</f>
        <v>Healthy</v>
      </c>
      <c r="AB59" s="3">
        <f>PortfolioData[[#This Row],[Debt_Outstanding]]/PortfolioData[[#This Row],[Current_Value]]</f>
        <v>0.6992571620013861</v>
      </c>
      <c r="AC59">
        <f>PortfolioData[[#This Row],[Units]]*PortfolioData[[#This Row],[Avg_Rent_per_Unit]]*12</f>
        <v>1735752</v>
      </c>
      <c r="AD59" s="13">
        <f>PortfolioData[[#This Row],[Potential_Revenue]]-PortfolioData[[#This Row],[Gross_Rental_Income]]</f>
        <v>223968</v>
      </c>
      <c r="AE59" s="3">
        <f>IFERROR(PortfolioData[[#This Row],[Vacancy_Loss]]/PortfolioData[[#This Row],[Potential_Revenue]],0)</f>
        <v>0.12903225806451613</v>
      </c>
      <c r="AF59" s="17">
        <f xml:space="preserve"> (PortfolioData[[#This Row],[Vacancy_%]] * 0.4) + (PortfolioData[[#This Row],[Debt_Ratio]] * 0.3) + (PortfolioData[[#This Row],[Interest_Rate]]/100 * 0.3)</f>
        <v>0.27531005182622226</v>
      </c>
    </row>
    <row r="60" spans="1:32" x14ac:dyDescent="0.3">
      <c r="A60" t="s">
        <v>34</v>
      </c>
      <c r="B60" t="s">
        <v>35</v>
      </c>
      <c r="C60" t="s">
        <v>30</v>
      </c>
      <c r="D60">
        <v>2017</v>
      </c>
      <c r="E60">
        <v>10060448</v>
      </c>
      <c r="F60">
        <v>11438842.4</v>
      </c>
      <c r="G60">
        <v>27</v>
      </c>
      <c r="H60">
        <v>18</v>
      </c>
      <c r="I60">
        <v>2155</v>
      </c>
      <c r="J60">
        <v>349752</v>
      </c>
      <c r="K60">
        <v>329936</v>
      </c>
      <c r="L60">
        <v>4494130</v>
      </c>
      <c r="M60">
        <v>6.64</v>
      </c>
      <c r="N60" t="s">
        <v>17</v>
      </c>
      <c r="O60" s="5">
        <f>PortfolioData[[#This Row],[Occupied_Units]]*PortfolioData[[#This Row],[Avg_Rent_per_Unit]]*12</f>
        <v>465480</v>
      </c>
      <c r="P60" s="3">
        <f>1-(PortfolioData[[#This Row],[Occupied_Units]]/PortfolioData[[#This Row],[Units]])</f>
        <v>0.33333333333333337</v>
      </c>
      <c r="Q60" s="5">
        <f>PortfolioData[[#This Row],[Gross_Rental_Income]] - PortfolioData[[#This Row],[Operating_Cost]] - PortfolioData[[#This Row],[Maintenance_Cost]]</f>
        <v>-214208</v>
      </c>
      <c r="R60" s="5">
        <f>PortfolioData[[#This Row],[Adjusted_Debt_Outstanding]]*(PortfolioData[[#This Row],[Interest_Rate]]/100)</f>
        <v>298410.23200000002</v>
      </c>
      <c r="S60" s="5">
        <f>MIN(PortfolioData[[#This Row],[Debt_Outstanding]], PortfolioData[[#This Row],[Current_Value]]*0.8)</f>
        <v>4494130</v>
      </c>
      <c r="T60" s="5">
        <f>PortfolioData[[#This Row],[Net Operating Income (NOI)]]/PortfolioData[[#This Row],[Annual_Debt_Service]]</f>
        <v>-0.71783061379745183</v>
      </c>
      <c r="U60" s="5">
        <f>PortfolioData[[#This Row],[Net Operating Income (NOI)]]-PortfolioData[[#This Row],[Annual_Debt_Service]]</f>
        <v>-512618.23200000002</v>
      </c>
      <c r="V60" s="5">
        <f>PortfolioData[[#This Row],[Net Operating Income (NOI)]]</f>
        <v>-214208</v>
      </c>
      <c r="W60" s="3">
        <f>PortfolioData[[#This Row],[Gross_Rental_Income]] / PortfolioData[[#This Row],[Purchase_Price]]</f>
        <v>4.6268317275731656E-2</v>
      </c>
      <c r="X60" s="3">
        <f>PortfolioData[[#This Row],[Net Operating Income (NOI)]]/PortfolioData[[#This Row],[Current_Value]]</f>
        <v>-1.8726370423636573E-2</v>
      </c>
      <c r="Y60" s="3">
        <f>(PortfolioData[[#This Row],[Current_Value]]-PortfolioData[[#This Row],[Purchase_Price]]+PortfolioData[[#This Row],[Net Operating Income (NOI)]]) / PortfolioData[[#This Row],[Purchase_Price]]</f>
        <v>0.11571914093686488</v>
      </c>
      <c r="Z60" s="5">
        <f>_xlfn.PERCENTRANK.INC(PortfolioData[ROI],PortfolioData[[#This Row],[ROI]])</f>
        <v>0.34799999999999998</v>
      </c>
      <c r="AA60" s="3" t="str">
        <f>IF(PortfolioData[[#This Row],[ROI_Percentile]]&lt;=0.1,"Underperforming","Healthy")</f>
        <v>Healthy</v>
      </c>
      <c r="AB60" s="3">
        <f>PortfolioData[[#This Row],[Debt_Outstanding]]/PortfolioData[[#This Row],[Current_Value]]</f>
        <v>0.39288328686126489</v>
      </c>
      <c r="AC60">
        <f>PortfolioData[[#This Row],[Units]]*PortfolioData[[#This Row],[Avg_Rent_per_Unit]]*12</f>
        <v>698220</v>
      </c>
      <c r="AD60" s="13">
        <f>PortfolioData[[#This Row],[Potential_Revenue]]-PortfolioData[[#This Row],[Gross_Rental_Income]]</f>
        <v>232740</v>
      </c>
      <c r="AE60" s="3">
        <f>IFERROR(PortfolioData[[#This Row],[Vacancy_Loss]]/PortfolioData[[#This Row],[Potential_Revenue]],0)</f>
        <v>0.33333333333333331</v>
      </c>
      <c r="AF60" s="17">
        <f xml:space="preserve"> (PortfolioData[[#This Row],[Vacancy_%]] * 0.4) + (PortfolioData[[#This Row],[Debt_Ratio]] * 0.3) + (PortfolioData[[#This Row],[Interest_Rate]]/100 * 0.3)</f>
        <v>0.27111831939171283</v>
      </c>
    </row>
    <row r="61" spans="1:32" x14ac:dyDescent="0.3">
      <c r="A61" t="s">
        <v>163</v>
      </c>
      <c r="B61" t="s">
        <v>27</v>
      </c>
      <c r="C61" t="s">
        <v>16</v>
      </c>
      <c r="D61">
        <v>2014</v>
      </c>
      <c r="E61">
        <v>9660471</v>
      </c>
      <c r="F61">
        <v>12861940.050000001</v>
      </c>
      <c r="G61">
        <v>79</v>
      </c>
      <c r="H61">
        <v>55</v>
      </c>
      <c r="I61">
        <v>2507</v>
      </c>
      <c r="J61">
        <v>237348</v>
      </c>
      <c r="K61">
        <v>130338</v>
      </c>
      <c r="L61">
        <v>5792073</v>
      </c>
      <c r="M61">
        <v>4.53</v>
      </c>
      <c r="N61" t="s">
        <v>17</v>
      </c>
      <c r="O61" s="5">
        <f>PortfolioData[[#This Row],[Occupied_Units]]*PortfolioData[[#This Row],[Avg_Rent_per_Unit]]*12</f>
        <v>1654620</v>
      </c>
      <c r="P61" s="3">
        <f>1-(PortfolioData[[#This Row],[Occupied_Units]]/PortfolioData[[#This Row],[Units]])</f>
        <v>0.30379746835443033</v>
      </c>
      <c r="Q61" s="5">
        <f>PortfolioData[[#This Row],[Gross_Rental_Income]] - PortfolioData[[#This Row],[Operating_Cost]] - PortfolioData[[#This Row],[Maintenance_Cost]]</f>
        <v>1286934</v>
      </c>
      <c r="R61" s="5">
        <f>PortfolioData[[#This Row],[Adjusted_Debt_Outstanding]]*(PortfolioData[[#This Row],[Interest_Rate]]/100)</f>
        <v>262380.9069</v>
      </c>
      <c r="S61" s="5">
        <f>MIN(PortfolioData[[#This Row],[Debt_Outstanding]], PortfolioData[[#This Row],[Current_Value]]*0.8)</f>
        <v>5792073</v>
      </c>
      <c r="T61" s="5">
        <f>PortfolioData[[#This Row],[Net Operating Income (NOI)]]/PortfolioData[[#This Row],[Annual_Debt_Service]]</f>
        <v>4.904830977242117</v>
      </c>
      <c r="U61" s="5">
        <f>PortfolioData[[#This Row],[Net Operating Income (NOI)]]-PortfolioData[[#This Row],[Annual_Debt_Service]]</f>
        <v>1024553.0930999999</v>
      </c>
      <c r="V61" s="5">
        <f>PortfolioData[[#This Row],[Net Operating Income (NOI)]]</f>
        <v>1286934</v>
      </c>
      <c r="W61" s="3">
        <f>PortfolioData[[#This Row],[Gross_Rental_Income]] / PortfolioData[[#This Row],[Purchase_Price]]</f>
        <v>0.17127736318446585</v>
      </c>
      <c r="X61" s="3">
        <f>PortfolioData[[#This Row],[Net Operating Income (NOI)]]/PortfolioData[[#This Row],[Current_Value]]</f>
        <v>0.10005753369998019</v>
      </c>
      <c r="Y61" s="3">
        <f>(PortfolioData[[#This Row],[Current_Value]]-PortfolioData[[#This Row],[Purchase_Price]]+PortfolioData[[#This Row],[Net Operating Income (NOI)]]) / PortfolioData[[#This Row],[Purchase_Price]]</f>
        <v>0.46461534328916271</v>
      </c>
      <c r="Z61" s="5">
        <f>_xlfn.PERCENTRANK.INC(PortfolioData[ROI],PortfolioData[[#This Row],[ROI]])</f>
        <v>0.92600000000000005</v>
      </c>
      <c r="AA61" s="3" t="str">
        <f>IF(PortfolioData[[#This Row],[ROI_Percentile]]&lt;=0.1,"Underperforming","Healthy")</f>
        <v>Healthy</v>
      </c>
      <c r="AB61" s="3">
        <f>PortfolioData[[#This Row],[Debt_Outstanding]]/PortfolioData[[#This Row],[Current_Value]]</f>
        <v>0.45032654307854592</v>
      </c>
      <c r="AC61">
        <f>PortfolioData[[#This Row],[Units]]*PortfolioData[[#This Row],[Avg_Rent_per_Unit]]*12</f>
        <v>2376636</v>
      </c>
      <c r="AD61" s="13">
        <f>PortfolioData[[#This Row],[Potential_Revenue]]-PortfolioData[[#This Row],[Gross_Rental_Income]]</f>
        <v>722016</v>
      </c>
      <c r="AE61" s="3">
        <f>IFERROR(PortfolioData[[#This Row],[Vacancy_Loss]]/PortfolioData[[#This Row],[Potential_Revenue]],0)</f>
        <v>0.30379746835443039</v>
      </c>
      <c r="AF61" s="17">
        <f xml:space="preserve"> (PortfolioData[[#This Row],[Vacancy_%]] * 0.4) + (PortfolioData[[#This Row],[Debt_Ratio]] * 0.3) + (PortfolioData[[#This Row],[Interest_Rate]]/100 * 0.3)</f>
        <v>0.27020695026533592</v>
      </c>
    </row>
    <row r="62" spans="1:32" x14ac:dyDescent="0.3">
      <c r="A62" t="s">
        <v>111</v>
      </c>
      <c r="B62" t="s">
        <v>22</v>
      </c>
      <c r="C62" t="s">
        <v>20</v>
      </c>
      <c r="D62">
        <v>2014</v>
      </c>
      <c r="E62">
        <v>7976306</v>
      </c>
      <c r="F62">
        <v>9622644.3699999992</v>
      </c>
      <c r="G62">
        <v>73</v>
      </c>
      <c r="H62">
        <v>69</v>
      </c>
      <c r="I62">
        <v>4142</v>
      </c>
      <c r="J62">
        <v>654381</v>
      </c>
      <c r="K62">
        <v>408698</v>
      </c>
      <c r="L62">
        <v>7138998</v>
      </c>
      <c r="M62">
        <v>6.91</v>
      </c>
      <c r="N62" t="s">
        <v>24</v>
      </c>
      <c r="O62" s="5">
        <f>PortfolioData[[#This Row],[Occupied_Units]]*PortfolioData[[#This Row],[Avg_Rent_per_Unit]]*12</f>
        <v>3429576</v>
      </c>
      <c r="P62" s="3">
        <f>1-(PortfolioData[[#This Row],[Occupied_Units]]/PortfolioData[[#This Row],[Units]])</f>
        <v>5.4794520547945202E-2</v>
      </c>
      <c r="Q62" s="5">
        <f>PortfolioData[[#This Row],[Gross_Rental_Income]] - PortfolioData[[#This Row],[Operating_Cost]] - PortfolioData[[#This Row],[Maintenance_Cost]]</f>
        <v>2366497</v>
      </c>
      <c r="R62" s="5">
        <f>PortfolioData[[#This Row],[Adjusted_Debt_Outstanding]]*(PortfolioData[[#This Row],[Interest_Rate]]/100)</f>
        <v>493304.76179999998</v>
      </c>
      <c r="S62" s="5">
        <f>MIN(PortfolioData[[#This Row],[Debt_Outstanding]], PortfolioData[[#This Row],[Current_Value]]*0.8)</f>
        <v>7138998</v>
      </c>
      <c r="T62" s="5">
        <f>PortfolioData[[#This Row],[Net Operating Income (NOI)]]/PortfolioData[[#This Row],[Annual_Debt_Service]]</f>
        <v>4.7972312113205309</v>
      </c>
      <c r="U62" s="5">
        <f>PortfolioData[[#This Row],[Net Operating Income (NOI)]]-PortfolioData[[#This Row],[Annual_Debt_Service]]</f>
        <v>1873192.2382</v>
      </c>
      <c r="V62" s="5">
        <f>PortfolioData[[#This Row],[Net Operating Income (NOI)]]</f>
        <v>2366497</v>
      </c>
      <c r="W62" s="3">
        <f>PortfolioData[[#This Row],[Gross_Rental_Income]] / PortfolioData[[#This Row],[Purchase_Price]]</f>
        <v>0.42997046502478714</v>
      </c>
      <c r="X62" s="3">
        <f>PortfolioData[[#This Row],[Net Operating Income (NOI)]]/PortfolioData[[#This Row],[Current_Value]]</f>
        <v>0.24593000728343453</v>
      </c>
      <c r="Y62" s="3">
        <f>(PortfolioData[[#This Row],[Current_Value]]-PortfolioData[[#This Row],[Purchase_Price]]+PortfolioData[[#This Row],[Net Operating Income (NOI)]]) / PortfolioData[[#This Row],[Purchase_Price]]</f>
        <v>0.50309446127066826</v>
      </c>
      <c r="Z62" s="5">
        <f>_xlfn.PERCENTRANK.INC(PortfolioData[ROI],PortfolioData[[#This Row],[ROI]])</f>
        <v>0.96599999999999997</v>
      </c>
      <c r="AA62" s="3" t="str">
        <f>IF(PortfolioData[[#This Row],[ROI_Percentile]]&lt;=0.1,"Underperforming","Healthy")</f>
        <v>Healthy</v>
      </c>
      <c r="AB62" s="3">
        <f>PortfolioData[[#This Row],[Debt_Outstanding]]/PortfolioData[[#This Row],[Current_Value]]</f>
        <v>0.74189565004156965</v>
      </c>
      <c r="AC62">
        <f>PortfolioData[[#This Row],[Units]]*PortfolioData[[#This Row],[Avg_Rent_per_Unit]]*12</f>
        <v>3628392</v>
      </c>
      <c r="AD62" s="13">
        <f>PortfolioData[[#This Row],[Potential_Revenue]]-PortfolioData[[#This Row],[Gross_Rental_Income]]</f>
        <v>198816</v>
      </c>
      <c r="AE62" s="3">
        <f>IFERROR(PortfolioData[[#This Row],[Vacancy_Loss]]/PortfolioData[[#This Row],[Potential_Revenue]],0)</f>
        <v>5.4794520547945202E-2</v>
      </c>
      <c r="AF62" s="17">
        <f xml:space="preserve"> (PortfolioData[[#This Row],[Vacancy_%]] * 0.4) + (PortfolioData[[#This Row],[Debt_Ratio]] * 0.3) + (PortfolioData[[#This Row],[Interest_Rate]]/100 * 0.3)</f>
        <v>0.26521650323164897</v>
      </c>
    </row>
    <row r="63" spans="1:32" x14ac:dyDescent="0.3">
      <c r="A63" t="s">
        <v>63</v>
      </c>
      <c r="B63" t="s">
        <v>19</v>
      </c>
      <c r="C63" t="s">
        <v>20</v>
      </c>
      <c r="D63">
        <v>2018</v>
      </c>
      <c r="E63">
        <v>15338795</v>
      </c>
      <c r="F63">
        <v>19112173.649999999</v>
      </c>
      <c r="G63">
        <v>11</v>
      </c>
      <c r="H63">
        <v>9</v>
      </c>
      <c r="I63">
        <v>5949</v>
      </c>
      <c r="J63">
        <v>577183</v>
      </c>
      <c r="K63">
        <v>243385</v>
      </c>
      <c r="L63">
        <v>11094548</v>
      </c>
      <c r="M63">
        <v>5.92</v>
      </c>
      <c r="N63" t="s">
        <v>24</v>
      </c>
      <c r="O63" s="5">
        <f>PortfolioData[[#This Row],[Occupied_Units]]*PortfolioData[[#This Row],[Avg_Rent_per_Unit]]*12</f>
        <v>642492</v>
      </c>
      <c r="P63" s="3">
        <f>1-(PortfolioData[[#This Row],[Occupied_Units]]/PortfolioData[[#This Row],[Units]])</f>
        <v>0.18181818181818177</v>
      </c>
      <c r="Q63" s="5">
        <f>PortfolioData[[#This Row],[Gross_Rental_Income]] - PortfolioData[[#This Row],[Operating_Cost]] - PortfolioData[[#This Row],[Maintenance_Cost]]</f>
        <v>-178076</v>
      </c>
      <c r="R63" s="5">
        <f>PortfolioData[[#This Row],[Adjusted_Debt_Outstanding]]*(PortfolioData[[#This Row],[Interest_Rate]]/100)</f>
        <v>656797.24160000007</v>
      </c>
      <c r="S63" s="5">
        <f>MIN(PortfolioData[[#This Row],[Debt_Outstanding]], PortfolioData[[#This Row],[Current_Value]]*0.8)</f>
        <v>11094548</v>
      </c>
      <c r="T63" s="5">
        <f>PortfolioData[[#This Row],[Net Operating Income (NOI)]]/PortfolioData[[#This Row],[Annual_Debt_Service]]</f>
        <v>-0.27112781345761361</v>
      </c>
      <c r="U63" s="5">
        <f>PortfolioData[[#This Row],[Net Operating Income (NOI)]]-PortfolioData[[#This Row],[Annual_Debt_Service]]</f>
        <v>-834873.24160000007</v>
      </c>
      <c r="V63" s="5">
        <f>PortfolioData[[#This Row],[Net Operating Income (NOI)]]</f>
        <v>-178076</v>
      </c>
      <c r="W63" s="3">
        <f>PortfolioData[[#This Row],[Gross_Rental_Income]] / PortfolioData[[#This Row],[Purchase_Price]]</f>
        <v>4.1886732301983302E-2</v>
      </c>
      <c r="X63" s="3">
        <f>PortfolioData[[#This Row],[Net Operating Income (NOI)]]/PortfolioData[[#This Row],[Current_Value]]</f>
        <v>-9.3174122033994819E-3</v>
      </c>
      <c r="Y63" s="3">
        <f>(PortfolioData[[#This Row],[Current_Value]]-PortfolioData[[#This Row],[Purchase_Price]]+PortfolioData[[#This Row],[Net Operating Income (NOI)]]) / PortfolioData[[#This Row],[Purchase_Price]]</f>
        <v>0.23439277009699905</v>
      </c>
      <c r="Z63" s="5">
        <f>_xlfn.PERCENTRANK.INC(PortfolioData[ROI],PortfolioData[[#This Row],[ROI]])</f>
        <v>0.51600000000000001</v>
      </c>
      <c r="AA63" s="3" t="str">
        <f>IF(PortfolioData[[#This Row],[ROI_Percentile]]&lt;=0.1,"Underperforming","Healthy")</f>
        <v>Healthy</v>
      </c>
      <c r="AB63" s="3">
        <f>PortfolioData[[#This Row],[Debt_Outstanding]]/PortfolioData[[#This Row],[Current_Value]]</f>
        <v>0.58049640000000735</v>
      </c>
      <c r="AC63">
        <f>PortfolioData[[#This Row],[Units]]*PortfolioData[[#This Row],[Avg_Rent_per_Unit]]*12</f>
        <v>785268</v>
      </c>
      <c r="AD63" s="13">
        <f>PortfolioData[[#This Row],[Potential_Revenue]]-PortfolioData[[#This Row],[Gross_Rental_Income]]</f>
        <v>142776</v>
      </c>
      <c r="AE63" s="3">
        <f>IFERROR(PortfolioData[[#This Row],[Vacancy_Loss]]/PortfolioData[[#This Row],[Potential_Revenue]],0)</f>
        <v>0.18181818181818182</v>
      </c>
      <c r="AF63" s="17">
        <f xml:space="preserve"> (PortfolioData[[#This Row],[Vacancy_%]] * 0.4) + (PortfolioData[[#This Row],[Debt_Ratio]] * 0.3) + (PortfolioData[[#This Row],[Interest_Rate]]/100 * 0.3)</f>
        <v>0.2646361927272749</v>
      </c>
    </row>
    <row r="64" spans="1:32" x14ac:dyDescent="0.3">
      <c r="A64" t="s">
        <v>81</v>
      </c>
      <c r="B64" t="s">
        <v>22</v>
      </c>
      <c r="C64" t="s">
        <v>30</v>
      </c>
      <c r="D64">
        <v>2012</v>
      </c>
      <c r="E64">
        <v>19386127</v>
      </c>
      <c r="F64">
        <v>18412212.100000001</v>
      </c>
      <c r="G64">
        <v>52</v>
      </c>
      <c r="H64">
        <v>52</v>
      </c>
      <c r="I64">
        <v>5594</v>
      </c>
      <c r="J64">
        <v>732637</v>
      </c>
      <c r="K64">
        <v>460562</v>
      </c>
      <c r="L64">
        <v>14131759</v>
      </c>
      <c r="M64">
        <v>5.89</v>
      </c>
      <c r="N64" t="s">
        <v>17</v>
      </c>
      <c r="O64" s="5">
        <f>PortfolioData[[#This Row],[Occupied_Units]]*PortfolioData[[#This Row],[Avg_Rent_per_Unit]]*12</f>
        <v>3490656</v>
      </c>
      <c r="P64" s="3">
        <f>1-(PortfolioData[[#This Row],[Occupied_Units]]/PortfolioData[[#This Row],[Units]])</f>
        <v>0</v>
      </c>
      <c r="Q64" s="5">
        <f>PortfolioData[[#This Row],[Gross_Rental_Income]] - PortfolioData[[#This Row],[Operating_Cost]] - PortfolioData[[#This Row],[Maintenance_Cost]]</f>
        <v>2297457</v>
      </c>
      <c r="R64" s="5">
        <f>PortfolioData[[#This Row],[Adjusted_Debt_Outstanding]]*(PortfolioData[[#This Row],[Interest_Rate]]/100)</f>
        <v>832360.60509999993</v>
      </c>
      <c r="S64" s="5">
        <f>MIN(PortfolioData[[#This Row],[Debt_Outstanding]], PortfolioData[[#This Row],[Current_Value]]*0.8)</f>
        <v>14131759</v>
      </c>
      <c r="T64" s="5">
        <f>PortfolioData[[#This Row],[Net Operating Income (NOI)]]/PortfolioData[[#This Row],[Annual_Debt_Service]]</f>
        <v>2.7601702746659704</v>
      </c>
      <c r="U64" s="5">
        <f>PortfolioData[[#This Row],[Net Operating Income (NOI)]]-PortfolioData[[#This Row],[Annual_Debt_Service]]</f>
        <v>1465096.3949000002</v>
      </c>
      <c r="V64" s="5">
        <f>PortfolioData[[#This Row],[Net Operating Income (NOI)]]</f>
        <v>2297457</v>
      </c>
      <c r="W64" s="3">
        <f>PortfolioData[[#This Row],[Gross_Rental_Income]] / PortfolioData[[#This Row],[Purchase_Price]]</f>
        <v>0.18005948274247868</v>
      </c>
      <c r="X64" s="3">
        <f>PortfolioData[[#This Row],[Net Operating Income (NOI)]]/PortfolioData[[#This Row],[Current_Value]]</f>
        <v>0.12477897753524139</v>
      </c>
      <c r="Y64" s="3">
        <f>(PortfolioData[[#This Row],[Current_Value]]-PortfolioData[[#This Row],[Purchase_Price]]+PortfolioData[[#This Row],[Net Operating Income (NOI)]]) / PortfolioData[[#This Row],[Purchase_Price]]</f>
        <v>6.8272641564764411E-2</v>
      </c>
      <c r="Z64" s="5">
        <f>_xlfn.PERCENTRANK.INC(PortfolioData[ROI],PortfolioData[[#This Row],[ROI]])</f>
        <v>0.26100000000000001</v>
      </c>
      <c r="AA64" s="3" t="str">
        <f>IF(PortfolioData[[#This Row],[ROI_Percentile]]&lt;=0.1,"Underperforming","Healthy")</f>
        <v>Healthy</v>
      </c>
      <c r="AB64" s="3">
        <f>PortfolioData[[#This Row],[Debt_Outstanding]]/PortfolioData[[#This Row],[Current_Value]]</f>
        <v>0.76752097592879664</v>
      </c>
      <c r="AC64">
        <f>PortfolioData[[#This Row],[Units]]*PortfolioData[[#This Row],[Avg_Rent_per_Unit]]*12</f>
        <v>3490656</v>
      </c>
      <c r="AD64" s="13">
        <f>PortfolioData[[#This Row],[Potential_Revenue]]-PortfolioData[[#This Row],[Gross_Rental_Income]]</f>
        <v>0</v>
      </c>
      <c r="AE64" s="3">
        <f>IFERROR(PortfolioData[[#This Row],[Vacancy_Loss]]/PortfolioData[[#This Row],[Potential_Revenue]],0)</f>
        <v>0</v>
      </c>
      <c r="AF64" s="17">
        <f xml:space="preserve"> (PortfolioData[[#This Row],[Vacancy_%]] * 0.4) + (PortfolioData[[#This Row],[Debt_Ratio]] * 0.3) + (PortfolioData[[#This Row],[Interest_Rate]]/100 * 0.3)</f>
        <v>0.24792629277863898</v>
      </c>
    </row>
    <row r="65" spans="1:32" x14ac:dyDescent="0.3">
      <c r="A65" t="s">
        <v>104</v>
      </c>
      <c r="B65" t="s">
        <v>27</v>
      </c>
      <c r="C65" t="s">
        <v>23</v>
      </c>
      <c r="D65">
        <v>2014</v>
      </c>
      <c r="E65">
        <v>24131530</v>
      </c>
      <c r="F65">
        <v>25247544.850000001</v>
      </c>
      <c r="G65">
        <v>17</v>
      </c>
      <c r="H65">
        <v>11</v>
      </c>
      <c r="I65">
        <v>1522</v>
      </c>
      <c r="J65">
        <v>803848</v>
      </c>
      <c r="K65">
        <v>194411</v>
      </c>
      <c r="L65">
        <v>6545554</v>
      </c>
      <c r="M65">
        <v>7.39</v>
      </c>
      <c r="N65" t="s">
        <v>24</v>
      </c>
      <c r="O65" s="5">
        <f>PortfolioData[[#This Row],[Occupied_Units]]*PortfolioData[[#This Row],[Avg_Rent_per_Unit]]*12</f>
        <v>200904</v>
      </c>
      <c r="P65" s="3">
        <f>1-(PortfolioData[[#This Row],[Occupied_Units]]/PortfolioData[[#This Row],[Units]])</f>
        <v>0.3529411764705882</v>
      </c>
      <c r="Q65" s="5">
        <f>PortfolioData[[#This Row],[Gross_Rental_Income]] - PortfolioData[[#This Row],[Operating_Cost]] - PortfolioData[[#This Row],[Maintenance_Cost]]</f>
        <v>-797355</v>
      </c>
      <c r="R65" s="5">
        <f>PortfolioData[[#This Row],[Adjusted_Debt_Outstanding]]*(PortfolioData[[#This Row],[Interest_Rate]]/100)</f>
        <v>483716.44059999997</v>
      </c>
      <c r="S65" s="5">
        <f>MIN(PortfolioData[[#This Row],[Debt_Outstanding]], PortfolioData[[#This Row],[Current_Value]]*0.8)</f>
        <v>6545554</v>
      </c>
      <c r="T65" s="5">
        <f>PortfolioData[[#This Row],[Net Operating Income (NOI)]]/PortfolioData[[#This Row],[Annual_Debt_Service]]</f>
        <v>-1.6483934244843197</v>
      </c>
      <c r="U65" s="5">
        <f>PortfolioData[[#This Row],[Net Operating Income (NOI)]]-PortfolioData[[#This Row],[Annual_Debt_Service]]</f>
        <v>-1281071.4405999999</v>
      </c>
      <c r="V65" s="5">
        <f>PortfolioData[[#This Row],[Net Operating Income (NOI)]]</f>
        <v>-797355</v>
      </c>
      <c r="W65" s="3">
        <f>PortfolioData[[#This Row],[Gross_Rental_Income]] / PortfolioData[[#This Row],[Purchase_Price]]</f>
        <v>8.3253734843998697E-3</v>
      </c>
      <c r="X65" s="3">
        <f>PortfolioData[[#This Row],[Net Operating Income (NOI)]]/PortfolioData[[#This Row],[Current_Value]]</f>
        <v>-3.1581486625223282E-2</v>
      </c>
      <c r="Y65" s="3">
        <f>(PortfolioData[[#This Row],[Current_Value]]-PortfolioData[[#This Row],[Purchase_Price]]+PortfolioData[[#This Row],[Net Operating Income (NOI)]]) / PortfolioData[[#This Row],[Purchase_Price]]</f>
        <v>1.3205124167427489E-2</v>
      </c>
      <c r="Z65" s="5">
        <f>_xlfn.PERCENTRANK.INC(PortfolioData[ROI],PortfolioData[[#This Row],[ROI]])</f>
        <v>0.17399999999999999</v>
      </c>
      <c r="AA65" s="3" t="str">
        <f>IF(PortfolioData[[#This Row],[ROI_Percentile]]&lt;=0.1,"Underperforming","Healthy")</f>
        <v>Healthy</v>
      </c>
      <c r="AB65" s="3">
        <f>PortfolioData[[#This Row],[Debt_Outstanding]]/PortfolioData[[#This Row],[Current_Value]]</f>
        <v>0.25925506970631246</v>
      </c>
      <c r="AC65">
        <f>PortfolioData[[#This Row],[Units]]*PortfolioData[[#This Row],[Avg_Rent_per_Unit]]*12</f>
        <v>310488</v>
      </c>
      <c r="AD65" s="13">
        <f>PortfolioData[[#This Row],[Potential_Revenue]]-PortfolioData[[#This Row],[Gross_Rental_Income]]</f>
        <v>109584</v>
      </c>
      <c r="AE65" s="3">
        <f>IFERROR(PortfolioData[[#This Row],[Vacancy_Loss]]/PortfolioData[[#This Row],[Potential_Revenue]],0)</f>
        <v>0.35294117647058826</v>
      </c>
      <c r="AF65" s="17">
        <f xml:space="preserve"> (PortfolioData[[#This Row],[Vacancy_%]] * 0.4) + (PortfolioData[[#This Row],[Debt_Ratio]] * 0.3) + (PortfolioData[[#This Row],[Interest_Rate]]/100 * 0.3)</f>
        <v>0.24112299150012903</v>
      </c>
    </row>
    <row r="66" spans="1:32" x14ac:dyDescent="0.3">
      <c r="A66" t="s">
        <v>164</v>
      </c>
      <c r="B66" t="s">
        <v>15</v>
      </c>
      <c r="C66" t="s">
        <v>23</v>
      </c>
      <c r="D66">
        <v>2011</v>
      </c>
      <c r="E66">
        <v>14148867</v>
      </c>
      <c r="F66">
        <v>16445205.460000001</v>
      </c>
      <c r="G66">
        <v>18</v>
      </c>
      <c r="H66">
        <v>14</v>
      </c>
      <c r="I66">
        <v>2102</v>
      </c>
      <c r="J66">
        <v>454683</v>
      </c>
      <c r="K66">
        <v>368593</v>
      </c>
      <c r="L66">
        <v>7037294</v>
      </c>
      <c r="M66">
        <v>6.95</v>
      </c>
      <c r="N66" t="s">
        <v>17</v>
      </c>
      <c r="O66" s="5">
        <f>PortfolioData[[#This Row],[Occupied_Units]]*PortfolioData[[#This Row],[Avg_Rent_per_Unit]]*12</f>
        <v>353136</v>
      </c>
      <c r="P66" s="3">
        <f>1-(PortfolioData[[#This Row],[Occupied_Units]]/PortfolioData[[#This Row],[Units]])</f>
        <v>0.22222222222222221</v>
      </c>
      <c r="Q66" s="5">
        <f>PortfolioData[[#This Row],[Gross_Rental_Income]] - PortfolioData[[#This Row],[Operating_Cost]] - PortfolioData[[#This Row],[Maintenance_Cost]]</f>
        <v>-470140</v>
      </c>
      <c r="R66" s="5">
        <f>PortfolioData[[#This Row],[Adjusted_Debt_Outstanding]]*(PortfolioData[[#This Row],[Interest_Rate]]/100)</f>
        <v>489091.93300000002</v>
      </c>
      <c r="S66" s="5">
        <f>MIN(PortfolioData[[#This Row],[Debt_Outstanding]], PortfolioData[[#This Row],[Current_Value]]*0.8)</f>
        <v>7037294</v>
      </c>
      <c r="T66" s="5">
        <f>PortfolioData[[#This Row],[Net Operating Income (NOI)]]/PortfolioData[[#This Row],[Annual_Debt_Service]]</f>
        <v>-0.9612507757309503</v>
      </c>
      <c r="U66" s="5">
        <f>PortfolioData[[#This Row],[Net Operating Income (NOI)]]-PortfolioData[[#This Row],[Annual_Debt_Service]]</f>
        <v>-959231.93299999996</v>
      </c>
      <c r="V66" s="5">
        <f>PortfolioData[[#This Row],[Net Operating Income (NOI)]]</f>
        <v>-470140</v>
      </c>
      <c r="W66" s="3">
        <f>PortfolioData[[#This Row],[Gross_Rental_Income]] / PortfolioData[[#This Row],[Purchase_Price]]</f>
        <v>2.4958606226208786E-2</v>
      </c>
      <c r="X66" s="3">
        <f>PortfolioData[[#This Row],[Net Operating Income (NOI)]]/PortfolioData[[#This Row],[Current_Value]]</f>
        <v>-2.8588271587334731E-2</v>
      </c>
      <c r="Y66" s="3">
        <f>(PortfolioData[[#This Row],[Current_Value]]-PortfolioData[[#This Row],[Purchase_Price]]+PortfolioData[[#This Row],[Net Operating Income (NOI)]]) / PortfolioData[[#This Row],[Purchase_Price]]</f>
        <v>0.12907029658275823</v>
      </c>
      <c r="Z66" s="5">
        <f>_xlfn.PERCENTRANK.INC(PortfolioData[ROI],PortfolioData[[#This Row],[ROI]])</f>
        <v>0.36199999999999999</v>
      </c>
      <c r="AA66" s="3" t="str">
        <f>IF(PortfolioData[[#This Row],[ROI_Percentile]]&lt;=0.1,"Underperforming","Healthy")</f>
        <v>Healthy</v>
      </c>
      <c r="AB66" s="3">
        <f>PortfolioData[[#This Row],[Debt_Outstanding]]/PortfolioData[[#This Row],[Current_Value]]</f>
        <v>0.42792375061028881</v>
      </c>
      <c r="AC66">
        <f>PortfolioData[[#This Row],[Units]]*PortfolioData[[#This Row],[Avg_Rent_per_Unit]]*12</f>
        <v>454032</v>
      </c>
      <c r="AD66" s="13">
        <f>PortfolioData[[#This Row],[Potential_Revenue]]-PortfolioData[[#This Row],[Gross_Rental_Income]]</f>
        <v>100896</v>
      </c>
      <c r="AE66" s="3">
        <f>IFERROR(PortfolioData[[#This Row],[Vacancy_Loss]]/PortfolioData[[#This Row],[Potential_Revenue]],0)</f>
        <v>0.22222222222222221</v>
      </c>
      <c r="AF66" s="17">
        <f xml:space="preserve"> (PortfolioData[[#This Row],[Vacancy_%]] * 0.4) + (PortfolioData[[#This Row],[Debt_Ratio]] * 0.3) + (PortfolioData[[#This Row],[Interest_Rate]]/100 * 0.3)</f>
        <v>0.23811601407197555</v>
      </c>
    </row>
    <row r="67" spans="1:32" x14ac:dyDescent="0.3">
      <c r="A67" t="s">
        <v>155</v>
      </c>
      <c r="B67" t="s">
        <v>19</v>
      </c>
      <c r="C67" t="s">
        <v>16</v>
      </c>
      <c r="D67">
        <v>2012</v>
      </c>
      <c r="E67">
        <v>7993366</v>
      </c>
      <c r="F67">
        <v>10513145.939999999</v>
      </c>
      <c r="G67">
        <v>34</v>
      </c>
      <c r="H67">
        <v>29</v>
      </c>
      <c r="I67">
        <v>2448</v>
      </c>
      <c r="J67">
        <v>803715</v>
      </c>
      <c r="K67">
        <v>251894</v>
      </c>
      <c r="L67">
        <v>5638725</v>
      </c>
      <c r="M67">
        <v>5.9</v>
      </c>
      <c r="N67" t="s">
        <v>17</v>
      </c>
      <c r="O67" s="5">
        <f>PortfolioData[[#This Row],[Occupied_Units]]*PortfolioData[[#This Row],[Avg_Rent_per_Unit]]*12</f>
        <v>851904</v>
      </c>
      <c r="P67" s="3">
        <f>1-(PortfolioData[[#This Row],[Occupied_Units]]/PortfolioData[[#This Row],[Units]])</f>
        <v>0.1470588235294118</v>
      </c>
      <c r="Q67" s="5">
        <f>PortfolioData[[#This Row],[Gross_Rental_Income]] - PortfolioData[[#This Row],[Operating_Cost]] - PortfolioData[[#This Row],[Maintenance_Cost]]</f>
        <v>-203705</v>
      </c>
      <c r="R67" s="5">
        <f>PortfolioData[[#This Row],[Adjusted_Debt_Outstanding]]*(PortfolioData[[#This Row],[Interest_Rate]]/100)</f>
        <v>332684.77500000002</v>
      </c>
      <c r="S67" s="5">
        <f>MIN(PortfolioData[[#This Row],[Debt_Outstanding]], PortfolioData[[#This Row],[Current_Value]]*0.8)</f>
        <v>5638725</v>
      </c>
      <c r="T67" s="5">
        <f>PortfolioData[[#This Row],[Net Operating Income (NOI)]]/PortfolioData[[#This Row],[Annual_Debt_Service]]</f>
        <v>-0.61230634915589388</v>
      </c>
      <c r="U67" s="5">
        <f>PortfolioData[[#This Row],[Net Operating Income (NOI)]]-PortfolioData[[#This Row],[Annual_Debt_Service]]</f>
        <v>-536389.77500000002</v>
      </c>
      <c r="V67" s="5">
        <f>PortfolioData[[#This Row],[Net Operating Income (NOI)]]</f>
        <v>-203705</v>
      </c>
      <c r="W67" s="3">
        <f>PortfolioData[[#This Row],[Gross_Rental_Income]] / PortfolioData[[#This Row],[Purchase_Price]]</f>
        <v>0.10657637846183948</v>
      </c>
      <c r="X67" s="3">
        <f>PortfolioData[[#This Row],[Net Operating Income (NOI)]]/PortfolioData[[#This Row],[Current_Value]]</f>
        <v>-1.9376217277166419E-2</v>
      </c>
      <c r="Y67" s="3">
        <f>(PortfolioData[[#This Row],[Current_Value]]-PortfolioData[[#This Row],[Purchase_Price]]+PortfolioData[[#This Row],[Net Operating Income (NOI)]]) / PortfolioData[[#This Row],[Purchase_Price]]</f>
        <v>0.28974964239095263</v>
      </c>
      <c r="Z67" s="5">
        <f>_xlfn.PERCENTRANK.INC(PortfolioData[ROI],PortfolioData[[#This Row],[ROI]])</f>
        <v>0.65700000000000003</v>
      </c>
      <c r="AA67" s="3" t="str">
        <f>IF(PortfolioData[[#This Row],[ROI_Percentile]]&lt;=0.1,"Underperforming","Healthy")</f>
        <v>Healthy</v>
      </c>
      <c r="AB67" s="3">
        <f>PortfolioData[[#This Row],[Debt_Outstanding]]/PortfolioData[[#This Row],[Current_Value]]</f>
        <v>0.5363499215345241</v>
      </c>
      <c r="AC67">
        <f>PortfolioData[[#This Row],[Units]]*PortfolioData[[#This Row],[Avg_Rent_per_Unit]]*12</f>
        <v>998784</v>
      </c>
      <c r="AD67" s="13">
        <f>PortfolioData[[#This Row],[Potential_Revenue]]-PortfolioData[[#This Row],[Gross_Rental_Income]]</f>
        <v>146880</v>
      </c>
      <c r="AE67" s="3">
        <f>IFERROR(PortfolioData[[#This Row],[Vacancy_Loss]]/PortfolioData[[#This Row],[Potential_Revenue]],0)</f>
        <v>0.14705882352941177</v>
      </c>
      <c r="AF67" s="17">
        <f xml:space="preserve"> (PortfolioData[[#This Row],[Vacancy_%]] * 0.4) + (PortfolioData[[#This Row],[Debt_Ratio]] * 0.3) + (PortfolioData[[#This Row],[Interest_Rate]]/100 * 0.3)</f>
        <v>0.23742850587212194</v>
      </c>
    </row>
    <row r="68" spans="1:32" x14ac:dyDescent="0.3">
      <c r="A68" t="s">
        <v>101</v>
      </c>
      <c r="B68" t="s">
        <v>35</v>
      </c>
      <c r="C68" t="s">
        <v>16</v>
      </c>
      <c r="D68">
        <v>2020</v>
      </c>
      <c r="E68">
        <v>12321761</v>
      </c>
      <c r="F68">
        <v>16653731.07</v>
      </c>
      <c r="G68">
        <v>58</v>
      </c>
      <c r="H68">
        <v>42</v>
      </c>
      <c r="I68">
        <v>4730</v>
      </c>
      <c r="J68">
        <v>730797</v>
      </c>
      <c r="K68">
        <v>490926</v>
      </c>
      <c r="L68">
        <v>6319463</v>
      </c>
      <c r="M68">
        <v>4.17</v>
      </c>
      <c r="N68" t="s">
        <v>24</v>
      </c>
      <c r="O68" s="5">
        <f>PortfolioData[[#This Row],[Occupied_Units]]*PortfolioData[[#This Row],[Avg_Rent_per_Unit]]*12</f>
        <v>2383920</v>
      </c>
      <c r="P68" s="3">
        <f>1-(PortfolioData[[#This Row],[Occupied_Units]]/PortfolioData[[#This Row],[Units]])</f>
        <v>0.27586206896551724</v>
      </c>
      <c r="Q68" s="5">
        <f>PortfolioData[[#This Row],[Gross_Rental_Income]] - PortfolioData[[#This Row],[Operating_Cost]] - PortfolioData[[#This Row],[Maintenance_Cost]]</f>
        <v>1162197</v>
      </c>
      <c r="R68" s="5">
        <f>PortfolioData[[#This Row],[Adjusted_Debt_Outstanding]]*(PortfolioData[[#This Row],[Interest_Rate]]/100)</f>
        <v>263521.60710000002</v>
      </c>
      <c r="S68" s="5">
        <f>MIN(PortfolioData[[#This Row],[Debt_Outstanding]], PortfolioData[[#This Row],[Current_Value]]*0.8)</f>
        <v>6319463</v>
      </c>
      <c r="T68" s="5">
        <f>PortfolioData[[#This Row],[Net Operating Income (NOI)]]/PortfolioData[[#This Row],[Annual_Debt_Service]]</f>
        <v>4.4102531583263094</v>
      </c>
      <c r="U68" s="5">
        <f>PortfolioData[[#This Row],[Net Operating Income (NOI)]]-PortfolioData[[#This Row],[Annual_Debt_Service]]</f>
        <v>898675.39289999998</v>
      </c>
      <c r="V68" s="5">
        <f>PortfolioData[[#This Row],[Net Operating Income (NOI)]]</f>
        <v>1162197</v>
      </c>
      <c r="W68" s="3">
        <f>PortfolioData[[#This Row],[Gross_Rental_Income]] / PortfolioData[[#This Row],[Purchase_Price]]</f>
        <v>0.19347234538959163</v>
      </c>
      <c r="X68" s="3">
        <f>PortfolioData[[#This Row],[Net Operating Income (NOI)]]/PortfolioData[[#This Row],[Current_Value]]</f>
        <v>6.9785983400054985E-2</v>
      </c>
      <c r="Y68" s="3">
        <f>(PortfolioData[[#This Row],[Current_Value]]-PortfolioData[[#This Row],[Purchase_Price]]+PortfolioData[[#This Row],[Net Operating Income (NOI)]]) / PortfolioData[[#This Row],[Purchase_Price]]</f>
        <v>0.44589138435650555</v>
      </c>
      <c r="Z68" s="5">
        <f>_xlfn.PERCENTRANK.INC(PortfolioData[ROI],PortfolioData[[#This Row],[ROI]])</f>
        <v>0.90600000000000003</v>
      </c>
      <c r="AA68" s="3" t="str">
        <f>IF(PortfolioData[[#This Row],[ROI_Percentile]]&lt;=0.1,"Underperforming","Healthy")</f>
        <v>Healthy</v>
      </c>
      <c r="AB68" s="3">
        <f>PortfolioData[[#This Row],[Debt_Outstanding]]/PortfolioData[[#This Row],[Current_Value]]</f>
        <v>0.3794622942713341</v>
      </c>
      <c r="AC68">
        <f>PortfolioData[[#This Row],[Units]]*PortfolioData[[#This Row],[Avg_Rent_per_Unit]]*12</f>
        <v>3292080</v>
      </c>
      <c r="AD68" s="13">
        <f>PortfolioData[[#This Row],[Potential_Revenue]]-PortfolioData[[#This Row],[Gross_Rental_Income]]</f>
        <v>908160</v>
      </c>
      <c r="AE68" s="3">
        <f>IFERROR(PortfolioData[[#This Row],[Vacancy_Loss]]/PortfolioData[[#This Row],[Potential_Revenue]],0)</f>
        <v>0.27586206896551724</v>
      </c>
      <c r="AF68" s="17">
        <f xml:space="preserve"> (PortfolioData[[#This Row],[Vacancy_%]] * 0.4) + (PortfolioData[[#This Row],[Debt_Ratio]] * 0.3) + (PortfolioData[[#This Row],[Interest_Rate]]/100 * 0.3)</f>
        <v>0.23669351586760712</v>
      </c>
    </row>
    <row r="69" spans="1:32" x14ac:dyDescent="0.3">
      <c r="A69" t="s">
        <v>150</v>
      </c>
      <c r="B69" t="s">
        <v>19</v>
      </c>
      <c r="C69" t="s">
        <v>20</v>
      </c>
      <c r="D69">
        <v>2019</v>
      </c>
      <c r="E69">
        <v>22440686</v>
      </c>
      <c r="F69">
        <v>20341781.170000002</v>
      </c>
      <c r="G69">
        <v>39</v>
      </c>
      <c r="H69">
        <v>35</v>
      </c>
      <c r="I69">
        <v>2210</v>
      </c>
      <c r="J69">
        <v>534486</v>
      </c>
      <c r="K69">
        <v>196101</v>
      </c>
      <c r="L69">
        <v>12105450</v>
      </c>
      <c r="M69">
        <v>5.55</v>
      </c>
      <c r="N69" t="s">
        <v>17</v>
      </c>
      <c r="O69" s="5">
        <f>PortfolioData[[#This Row],[Occupied_Units]]*PortfolioData[[#This Row],[Avg_Rent_per_Unit]]*12</f>
        <v>928200</v>
      </c>
      <c r="P69" s="3">
        <f>1-(PortfolioData[[#This Row],[Occupied_Units]]/PortfolioData[[#This Row],[Units]])</f>
        <v>0.10256410256410253</v>
      </c>
      <c r="Q69" s="5">
        <f>PortfolioData[[#This Row],[Gross_Rental_Income]] - PortfolioData[[#This Row],[Operating_Cost]] - PortfolioData[[#This Row],[Maintenance_Cost]]</f>
        <v>197613</v>
      </c>
      <c r="R69" s="5">
        <f>PortfolioData[[#This Row],[Adjusted_Debt_Outstanding]]*(PortfolioData[[#This Row],[Interest_Rate]]/100)</f>
        <v>671852.47499999998</v>
      </c>
      <c r="S69" s="5">
        <f>MIN(PortfolioData[[#This Row],[Debt_Outstanding]], PortfolioData[[#This Row],[Current_Value]]*0.8)</f>
        <v>12105450</v>
      </c>
      <c r="T69" s="5">
        <f>PortfolioData[[#This Row],[Net Operating Income (NOI)]]/PortfolioData[[#This Row],[Annual_Debt_Service]]</f>
        <v>0.29413153534933395</v>
      </c>
      <c r="U69" s="5">
        <f>PortfolioData[[#This Row],[Net Operating Income (NOI)]]-PortfolioData[[#This Row],[Annual_Debt_Service]]</f>
        <v>-474239.47499999998</v>
      </c>
      <c r="V69" s="5">
        <f>PortfolioData[[#This Row],[Net Operating Income (NOI)]]</f>
        <v>197613</v>
      </c>
      <c r="W69" s="3">
        <f>PortfolioData[[#This Row],[Gross_Rental_Income]] / PortfolioData[[#This Row],[Purchase_Price]]</f>
        <v>4.1362371898969574E-2</v>
      </c>
      <c r="X69" s="3">
        <f>PortfolioData[[#This Row],[Net Operating Income (NOI)]]/PortfolioData[[#This Row],[Current_Value]]</f>
        <v>9.7146360168026517E-3</v>
      </c>
      <c r="Y69" s="3">
        <f>(PortfolioData[[#This Row],[Current_Value]]-PortfolioData[[#This Row],[Purchase_Price]]+PortfolioData[[#This Row],[Net Operating Income (NOI)]]) / PortfolioData[[#This Row],[Purchase_Price]]</f>
        <v>-8.4725209826473136E-2</v>
      </c>
      <c r="Z69" s="5">
        <f>_xlfn.PERCENTRANK.INC(PortfolioData[ROI],PortfolioData[[#This Row],[ROI]])</f>
        <v>3.3000000000000002E-2</v>
      </c>
      <c r="AA69" s="3" t="str">
        <f>IF(PortfolioData[[#This Row],[ROI_Percentile]]&lt;=0.1,"Underperforming","Healthy")</f>
        <v>Underperforming</v>
      </c>
      <c r="AB69" s="3">
        <f>PortfolioData[[#This Row],[Debt_Outstanding]]/PortfolioData[[#This Row],[Current_Value]]</f>
        <v>0.59510275421962955</v>
      </c>
      <c r="AC69">
        <f>PortfolioData[[#This Row],[Units]]*PortfolioData[[#This Row],[Avg_Rent_per_Unit]]*12</f>
        <v>1034280</v>
      </c>
      <c r="AD69" s="13">
        <f>PortfolioData[[#This Row],[Potential_Revenue]]-PortfolioData[[#This Row],[Gross_Rental_Income]]</f>
        <v>106080</v>
      </c>
      <c r="AE69" s="3">
        <f>IFERROR(PortfolioData[[#This Row],[Vacancy_Loss]]/PortfolioData[[#This Row],[Potential_Revenue]],0)</f>
        <v>0.10256410256410256</v>
      </c>
      <c r="AF69" s="17">
        <f xml:space="preserve"> (PortfolioData[[#This Row],[Vacancy_%]] * 0.4) + (PortfolioData[[#This Row],[Debt_Ratio]] * 0.3) + (PortfolioData[[#This Row],[Interest_Rate]]/100 * 0.3)</f>
        <v>0.23620646729152989</v>
      </c>
    </row>
    <row r="70" spans="1:32" x14ac:dyDescent="0.3">
      <c r="A70" t="s">
        <v>54</v>
      </c>
      <c r="B70" t="s">
        <v>35</v>
      </c>
      <c r="C70" t="s">
        <v>20</v>
      </c>
      <c r="D70">
        <v>2014</v>
      </c>
      <c r="E70">
        <v>14139981</v>
      </c>
      <c r="F70">
        <v>18756101.949999999</v>
      </c>
      <c r="G70">
        <v>35</v>
      </c>
      <c r="H70">
        <v>35</v>
      </c>
      <c r="I70">
        <v>1741</v>
      </c>
      <c r="J70">
        <v>847223</v>
      </c>
      <c r="K70">
        <v>437508</v>
      </c>
      <c r="L70">
        <v>13420695</v>
      </c>
      <c r="M70">
        <v>6.28</v>
      </c>
      <c r="N70" t="s">
        <v>24</v>
      </c>
      <c r="O70" s="5">
        <f>PortfolioData[[#This Row],[Occupied_Units]]*PortfolioData[[#This Row],[Avg_Rent_per_Unit]]*12</f>
        <v>731220</v>
      </c>
      <c r="P70" s="3">
        <f>1-(PortfolioData[[#This Row],[Occupied_Units]]/PortfolioData[[#This Row],[Units]])</f>
        <v>0</v>
      </c>
      <c r="Q70" s="5">
        <f>PortfolioData[[#This Row],[Gross_Rental_Income]] - PortfolioData[[#This Row],[Operating_Cost]] - PortfolioData[[#This Row],[Maintenance_Cost]]</f>
        <v>-553511</v>
      </c>
      <c r="R70" s="5">
        <f>PortfolioData[[#This Row],[Adjusted_Debt_Outstanding]]*(PortfolioData[[#This Row],[Interest_Rate]]/100)</f>
        <v>842819.64600000007</v>
      </c>
      <c r="S70" s="5">
        <f>MIN(PortfolioData[[#This Row],[Debt_Outstanding]], PortfolioData[[#This Row],[Current_Value]]*0.8)</f>
        <v>13420695</v>
      </c>
      <c r="T70" s="5">
        <f>PortfolioData[[#This Row],[Net Operating Income (NOI)]]/PortfolioData[[#This Row],[Annual_Debt_Service]]</f>
        <v>-0.65673718289191374</v>
      </c>
      <c r="U70" s="5">
        <f>PortfolioData[[#This Row],[Net Operating Income (NOI)]]-PortfolioData[[#This Row],[Annual_Debt_Service]]</f>
        <v>-1396330.6460000002</v>
      </c>
      <c r="V70" s="5">
        <f>PortfolioData[[#This Row],[Net Operating Income (NOI)]]</f>
        <v>-553511</v>
      </c>
      <c r="W70" s="3">
        <f>PortfolioData[[#This Row],[Gross_Rental_Income]] / PortfolioData[[#This Row],[Purchase_Price]]</f>
        <v>5.1712940774107125E-2</v>
      </c>
      <c r="X70" s="3">
        <f>PortfolioData[[#This Row],[Net Operating Income (NOI)]]/PortfolioData[[#This Row],[Current_Value]]</f>
        <v>-2.9510982691155613E-2</v>
      </c>
      <c r="Y70" s="3">
        <f>(PortfolioData[[#This Row],[Current_Value]]-PortfolioData[[#This Row],[Purchase_Price]]+PortfolioData[[#This Row],[Net Operating Income (NOI)]]) / PortfolioData[[#This Row],[Purchase_Price]]</f>
        <v>0.28731367814426334</v>
      </c>
      <c r="Z70" s="5">
        <f>_xlfn.PERCENTRANK.INC(PortfolioData[ROI],PortfolioData[[#This Row],[ROI]])</f>
        <v>0.63700000000000001</v>
      </c>
      <c r="AA70" s="3" t="str">
        <f>IF(PortfolioData[[#This Row],[ROI_Percentile]]&lt;=0.1,"Underperforming","Healthy")</f>
        <v>Healthy</v>
      </c>
      <c r="AB70" s="3">
        <f>PortfolioData[[#This Row],[Debt_Outstanding]]/PortfolioData[[#This Row],[Current_Value]]</f>
        <v>0.71553753737193782</v>
      </c>
      <c r="AC70">
        <f>PortfolioData[[#This Row],[Units]]*PortfolioData[[#This Row],[Avg_Rent_per_Unit]]*12</f>
        <v>731220</v>
      </c>
      <c r="AD70" s="13">
        <f>PortfolioData[[#This Row],[Potential_Revenue]]-PortfolioData[[#This Row],[Gross_Rental_Income]]</f>
        <v>0</v>
      </c>
      <c r="AE70" s="3">
        <f>IFERROR(PortfolioData[[#This Row],[Vacancy_Loss]]/PortfolioData[[#This Row],[Potential_Revenue]],0)</f>
        <v>0</v>
      </c>
      <c r="AF70" s="17">
        <f xml:space="preserve"> (PortfolioData[[#This Row],[Vacancy_%]] * 0.4) + (PortfolioData[[#This Row],[Debt_Ratio]] * 0.3) + (PortfolioData[[#This Row],[Interest_Rate]]/100 * 0.3)</f>
        <v>0.23350126121158132</v>
      </c>
    </row>
    <row r="71" spans="1:32" x14ac:dyDescent="0.3">
      <c r="A71" t="s">
        <v>151</v>
      </c>
      <c r="B71" t="s">
        <v>19</v>
      </c>
      <c r="C71" t="s">
        <v>30</v>
      </c>
      <c r="D71">
        <v>2018</v>
      </c>
      <c r="E71">
        <v>21005495</v>
      </c>
      <c r="F71">
        <v>28321021.190000001</v>
      </c>
      <c r="G71">
        <v>51</v>
      </c>
      <c r="H71">
        <v>41</v>
      </c>
      <c r="I71">
        <v>3508</v>
      </c>
      <c r="J71">
        <v>876621</v>
      </c>
      <c r="K71">
        <v>127962</v>
      </c>
      <c r="L71">
        <v>12337587</v>
      </c>
      <c r="M71">
        <v>7.22</v>
      </c>
      <c r="N71" t="s">
        <v>24</v>
      </c>
      <c r="O71" s="5">
        <f>PortfolioData[[#This Row],[Occupied_Units]]*PortfolioData[[#This Row],[Avg_Rent_per_Unit]]*12</f>
        <v>1725936</v>
      </c>
      <c r="P71" s="3">
        <f>1-(PortfolioData[[#This Row],[Occupied_Units]]/PortfolioData[[#This Row],[Units]])</f>
        <v>0.19607843137254899</v>
      </c>
      <c r="Q71" s="5">
        <f>PortfolioData[[#This Row],[Gross_Rental_Income]] - PortfolioData[[#This Row],[Operating_Cost]] - PortfolioData[[#This Row],[Maintenance_Cost]]</f>
        <v>721353</v>
      </c>
      <c r="R71" s="5">
        <f>PortfolioData[[#This Row],[Adjusted_Debt_Outstanding]]*(PortfolioData[[#This Row],[Interest_Rate]]/100)</f>
        <v>890773.78139999998</v>
      </c>
      <c r="S71" s="5">
        <f>MIN(PortfolioData[[#This Row],[Debt_Outstanding]], PortfolioData[[#This Row],[Current_Value]]*0.8)</f>
        <v>12337587</v>
      </c>
      <c r="T71" s="5">
        <f>PortfolioData[[#This Row],[Net Operating Income (NOI)]]/PortfolioData[[#This Row],[Annual_Debt_Service]]</f>
        <v>0.80980493034524781</v>
      </c>
      <c r="U71" s="5">
        <f>PortfolioData[[#This Row],[Net Operating Income (NOI)]]-PortfolioData[[#This Row],[Annual_Debt_Service]]</f>
        <v>-169420.78139999998</v>
      </c>
      <c r="V71" s="5">
        <f>PortfolioData[[#This Row],[Net Operating Income (NOI)]]</f>
        <v>721353</v>
      </c>
      <c r="W71" s="3">
        <f>PortfolioData[[#This Row],[Gross_Rental_Income]] / PortfolioData[[#This Row],[Purchase_Price]]</f>
        <v>8.2165928486807857E-2</v>
      </c>
      <c r="X71" s="3">
        <f>PortfolioData[[#This Row],[Net Operating Income (NOI)]]/PortfolioData[[#This Row],[Current_Value]]</f>
        <v>2.5470585794226439E-2</v>
      </c>
      <c r="Y71" s="3">
        <f>(PortfolioData[[#This Row],[Current_Value]]-PortfolioData[[#This Row],[Purchase_Price]]+PortfolioData[[#This Row],[Net Operating Income (NOI)]]) / PortfolioData[[#This Row],[Purchase_Price]]</f>
        <v>0.38260841698803105</v>
      </c>
      <c r="Z71" s="5">
        <f>_xlfn.PERCENTRANK.INC(PortfolioData[ROI],PortfolioData[[#This Row],[ROI]])</f>
        <v>0.83799999999999997</v>
      </c>
      <c r="AA71" s="3" t="str">
        <f>IF(PortfolioData[[#This Row],[ROI_Percentile]]&lt;=0.1,"Underperforming","Healthy")</f>
        <v>Healthy</v>
      </c>
      <c r="AB71" s="3">
        <f>PortfolioData[[#This Row],[Debt_Outstanding]]/PortfolioData[[#This Row],[Current_Value]]</f>
        <v>0.43563354997793424</v>
      </c>
      <c r="AC71">
        <f>PortfolioData[[#This Row],[Units]]*PortfolioData[[#This Row],[Avg_Rent_per_Unit]]*12</f>
        <v>2146896</v>
      </c>
      <c r="AD71" s="13">
        <f>PortfolioData[[#This Row],[Potential_Revenue]]-PortfolioData[[#This Row],[Gross_Rental_Income]]</f>
        <v>420960</v>
      </c>
      <c r="AE71" s="3">
        <f>IFERROR(PortfolioData[[#This Row],[Vacancy_Loss]]/PortfolioData[[#This Row],[Potential_Revenue]],0)</f>
        <v>0.19607843137254902</v>
      </c>
      <c r="AF71" s="17">
        <f xml:space="preserve"> (PortfolioData[[#This Row],[Vacancy_%]] * 0.4) + (PortfolioData[[#This Row],[Debt_Ratio]] * 0.3) + (PortfolioData[[#This Row],[Interest_Rate]]/100 * 0.3)</f>
        <v>0.23078143754239988</v>
      </c>
    </row>
    <row r="72" spans="1:32" x14ac:dyDescent="0.3">
      <c r="A72" t="s">
        <v>62</v>
      </c>
      <c r="B72" t="s">
        <v>35</v>
      </c>
      <c r="C72" t="s">
        <v>30</v>
      </c>
      <c r="D72">
        <v>2015</v>
      </c>
      <c r="E72">
        <v>8069037</v>
      </c>
      <c r="F72">
        <v>8676847.2400000002</v>
      </c>
      <c r="G72">
        <v>43</v>
      </c>
      <c r="H72">
        <v>42</v>
      </c>
      <c r="I72">
        <v>4318</v>
      </c>
      <c r="J72">
        <v>809371</v>
      </c>
      <c r="K72">
        <v>120991</v>
      </c>
      <c r="L72">
        <v>5904978</v>
      </c>
      <c r="M72">
        <v>4.63</v>
      </c>
      <c r="N72" t="s">
        <v>24</v>
      </c>
      <c r="O72" s="5">
        <f>PortfolioData[[#This Row],[Occupied_Units]]*PortfolioData[[#This Row],[Avg_Rent_per_Unit]]*12</f>
        <v>2176272</v>
      </c>
      <c r="P72" s="3">
        <f>1-(PortfolioData[[#This Row],[Occupied_Units]]/PortfolioData[[#This Row],[Units]])</f>
        <v>2.3255813953488413E-2</v>
      </c>
      <c r="Q72" s="5">
        <f>PortfolioData[[#This Row],[Gross_Rental_Income]] - PortfolioData[[#This Row],[Operating_Cost]] - PortfolioData[[#This Row],[Maintenance_Cost]]</f>
        <v>1245910</v>
      </c>
      <c r="R72" s="5">
        <f>PortfolioData[[#This Row],[Adjusted_Debt_Outstanding]]*(PortfolioData[[#This Row],[Interest_Rate]]/100)</f>
        <v>273400.48139999999</v>
      </c>
      <c r="S72" s="5">
        <f>MIN(PortfolioData[[#This Row],[Debt_Outstanding]], PortfolioData[[#This Row],[Current_Value]]*0.8)</f>
        <v>5904978</v>
      </c>
      <c r="T72" s="5">
        <f>PortfolioData[[#This Row],[Net Operating Income (NOI)]]/PortfolioData[[#This Row],[Annual_Debt_Service]]</f>
        <v>4.5570878062104248</v>
      </c>
      <c r="U72" s="5">
        <f>PortfolioData[[#This Row],[Net Operating Income (NOI)]]-PortfolioData[[#This Row],[Annual_Debt_Service]]</f>
        <v>972509.51860000007</v>
      </c>
      <c r="V72" s="5">
        <f>PortfolioData[[#This Row],[Net Operating Income (NOI)]]</f>
        <v>1245910</v>
      </c>
      <c r="W72" s="3">
        <f>PortfolioData[[#This Row],[Gross_Rental_Income]] / PortfolioData[[#This Row],[Purchase_Price]]</f>
        <v>0.26970653375365611</v>
      </c>
      <c r="X72" s="3">
        <f>PortfolioData[[#This Row],[Net Operating Income (NOI)]]/PortfolioData[[#This Row],[Current_Value]]</f>
        <v>0.14359017342801578</v>
      </c>
      <c r="Y72" s="3">
        <f>(PortfolioData[[#This Row],[Current_Value]]-PortfolioData[[#This Row],[Purchase_Price]]+PortfolioData[[#This Row],[Net Operating Income (NOI)]]) / PortfolioData[[#This Row],[Purchase_Price]]</f>
        <v>0.22973252446357603</v>
      </c>
      <c r="Z72" s="5">
        <f>_xlfn.PERCENTRANK.INC(PortfolioData[ROI],PortfolioData[[#This Row],[ROI]])</f>
        <v>0.503</v>
      </c>
      <c r="AA72" s="3" t="str">
        <f>IF(PortfolioData[[#This Row],[ROI_Percentile]]&lt;=0.1,"Underperforming","Healthy")</f>
        <v>Healthy</v>
      </c>
      <c r="AB72" s="3">
        <f>PortfolioData[[#This Row],[Debt_Outstanding]]/PortfolioData[[#This Row],[Current_Value]]</f>
        <v>0.6805441926853607</v>
      </c>
      <c r="AC72">
        <f>PortfolioData[[#This Row],[Units]]*PortfolioData[[#This Row],[Avg_Rent_per_Unit]]*12</f>
        <v>2228088</v>
      </c>
      <c r="AD72" s="13">
        <f>PortfolioData[[#This Row],[Potential_Revenue]]-PortfolioData[[#This Row],[Gross_Rental_Income]]</f>
        <v>51816</v>
      </c>
      <c r="AE72" s="3">
        <f>IFERROR(PortfolioData[[#This Row],[Vacancy_Loss]]/PortfolioData[[#This Row],[Potential_Revenue]],0)</f>
        <v>2.3255813953488372E-2</v>
      </c>
      <c r="AF72" s="17">
        <f xml:space="preserve"> (PortfolioData[[#This Row],[Vacancy_%]] * 0.4) + (PortfolioData[[#This Row],[Debt_Ratio]] * 0.3) + (PortfolioData[[#This Row],[Interest_Rate]]/100 * 0.3)</f>
        <v>0.22735558338700357</v>
      </c>
    </row>
    <row r="73" spans="1:32" x14ac:dyDescent="0.3">
      <c r="A73" t="s">
        <v>118</v>
      </c>
      <c r="B73" t="s">
        <v>27</v>
      </c>
      <c r="C73" t="s">
        <v>30</v>
      </c>
      <c r="D73">
        <v>2020</v>
      </c>
      <c r="E73">
        <v>20652670</v>
      </c>
      <c r="F73">
        <v>21832710.18</v>
      </c>
      <c r="G73">
        <v>32</v>
      </c>
      <c r="H73">
        <v>30</v>
      </c>
      <c r="I73">
        <v>1625</v>
      </c>
      <c r="J73">
        <v>257493</v>
      </c>
      <c r="K73">
        <v>442531</v>
      </c>
      <c r="L73">
        <v>13219752</v>
      </c>
      <c r="M73">
        <v>5.86</v>
      </c>
      <c r="N73" t="s">
        <v>17</v>
      </c>
      <c r="O73" s="5">
        <f>PortfolioData[[#This Row],[Occupied_Units]]*PortfolioData[[#This Row],[Avg_Rent_per_Unit]]*12</f>
        <v>585000</v>
      </c>
      <c r="P73" s="3">
        <f>1-(PortfolioData[[#This Row],[Occupied_Units]]/PortfolioData[[#This Row],[Units]])</f>
        <v>6.25E-2</v>
      </c>
      <c r="Q73" s="5">
        <f>PortfolioData[[#This Row],[Gross_Rental_Income]] - PortfolioData[[#This Row],[Operating_Cost]] - PortfolioData[[#This Row],[Maintenance_Cost]]</f>
        <v>-115024</v>
      </c>
      <c r="R73" s="5">
        <f>PortfolioData[[#This Row],[Adjusted_Debt_Outstanding]]*(PortfolioData[[#This Row],[Interest_Rate]]/100)</f>
        <v>774677.46720000007</v>
      </c>
      <c r="S73" s="5">
        <f>MIN(PortfolioData[[#This Row],[Debt_Outstanding]], PortfolioData[[#This Row],[Current_Value]]*0.8)</f>
        <v>13219752</v>
      </c>
      <c r="T73" s="5">
        <f>PortfolioData[[#This Row],[Net Operating Income (NOI)]]/PortfolioData[[#This Row],[Annual_Debt_Service]]</f>
        <v>-0.1484798575796242</v>
      </c>
      <c r="U73" s="5">
        <f>PortfolioData[[#This Row],[Net Operating Income (NOI)]]-PortfolioData[[#This Row],[Annual_Debt_Service]]</f>
        <v>-889701.46720000007</v>
      </c>
      <c r="V73" s="5">
        <f>PortfolioData[[#This Row],[Net Operating Income (NOI)]]</f>
        <v>-115024</v>
      </c>
      <c r="W73" s="3">
        <f>PortfolioData[[#This Row],[Gross_Rental_Income]] / PortfolioData[[#This Row],[Purchase_Price]]</f>
        <v>2.8325635377895449E-2</v>
      </c>
      <c r="X73" s="3">
        <f>PortfolioData[[#This Row],[Net Operating Income (NOI)]]/PortfolioData[[#This Row],[Current_Value]]</f>
        <v>-5.2684251772539218E-3</v>
      </c>
      <c r="Y73" s="3">
        <f>(PortfolioData[[#This Row],[Current_Value]]-PortfolioData[[#This Row],[Purchase_Price]]+PortfolioData[[#This Row],[Net Operating Income (NOI)]]) / PortfolioData[[#This Row],[Purchase_Price]]</f>
        <v>5.1567965788442839E-2</v>
      </c>
      <c r="Z73" s="5">
        <f>_xlfn.PERCENTRANK.INC(PortfolioData[ROI],PortfolioData[[#This Row],[ROI]])</f>
        <v>0.214</v>
      </c>
      <c r="AA73" s="3" t="str">
        <f>IF(PortfolioData[[#This Row],[ROI_Percentile]]&lt;=0.1,"Underperforming","Healthy")</f>
        <v>Healthy</v>
      </c>
      <c r="AB73" s="3">
        <f>PortfolioData[[#This Row],[Debt_Outstanding]]/PortfolioData[[#This Row],[Current_Value]]</f>
        <v>0.60550210628958201</v>
      </c>
      <c r="AC73">
        <f>PortfolioData[[#This Row],[Units]]*PortfolioData[[#This Row],[Avg_Rent_per_Unit]]*12</f>
        <v>624000</v>
      </c>
      <c r="AD73" s="13">
        <f>PortfolioData[[#This Row],[Potential_Revenue]]-PortfolioData[[#This Row],[Gross_Rental_Income]]</f>
        <v>39000</v>
      </c>
      <c r="AE73" s="3">
        <f>IFERROR(PortfolioData[[#This Row],[Vacancy_Loss]]/PortfolioData[[#This Row],[Potential_Revenue]],0)</f>
        <v>6.25E-2</v>
      </c>
      <c r="AF73" s="17">
        <f xml:space="preserve"> (PortfolioData[[#This Row],[Vacancy_%]] * 0.4) + (PortfolioData[[#This Row],[Debt_Ratio]] * 0.3) + (PortfolioData[[#This Row],[Interest_Rate]]/100 * 0.3)</f>
        <v>0.22423063188687462</v>
      </c>
    </row>
    <row r="74" spans="1:32" x14ac:dyDescent="0.3">
      <c r="A74" t="s">
        <v>73</v>
      </c>
      <c r="B74" t="s">
        <v>35</v>
      </c>
      <c r="C74" t="s">
        <v>23</v>
      </c>
      <c r="D74">
        <v>2016</v>
      </c>
      <c r="E74">
        <v>7465579</v>
      </c>
      <c r="F74">
        <v>7243429.0499999998</v>
      </c>
      <c r="G74">
        <v>33</v>
      </c>
      <c r="H74">
        <v>27</v>
      </c>
      <c r="I74">
        <v>1562</v>
      </c>
      <c r="J74">
        <v>483890</v>
      </c>
      <c r="K74">
        <v>372384</v>
      </c>
      <c r="L74">
        <v>3192999</v>
      </c>
      <c r="M74">
        <v>4.1500000000000004</v>
      </c>
      <c r="N74" t="s">
        <v>24</v>
      </c>
      <c r="O74" s="5">
        <f>PortfolioData[[#This Row],[Occupied_Units]]*PortfolioData[[#This Row],[Avg_Rent_per_Unit]]*12</f>
        <v>506088</v>
      </c>
      <c r="P74" s="3">
        <f>1-(PortfolioData[[#This Row],[Occupied_Units]]/PortfolioData[[#This Row],[Units]])</f>
        <v>0.18181818181818177</v>
      </c>
      <c r="Q74" s="5">
        <f>PortfolioData[[#This Row],[Gross_Rental_Income]] - PortfolioData[[#This Row],[Operating_Cost]] - PortfolioData[[#This Row],[Maintenance_Cost]]</f>
        <v>-350186</v>
      </c>
      <c r="R74" s="5">
        <f>PortfolioData[[#This Row],[Adjusted_Debt_Outstanding]]*(PortfolioData[[#This Row],[Interest_Rate]]/100)</f>
        <v>132509.45850000001</v>
      </c>
      <c r="S74" s="5">
        <f>MIN(PortfolioData[[#This Row],[Debt_Outstanding]], PortfolioData[[#This Row],[Current_Value]]*0.8)</f>
        <v>3192999</v>
      </c>
      <c r="T74" s="5">
        <f>PortfolioData[[#This Row],[Net Operating Income (NOI)]]/PortfolioData[[#This Row],[Annual_Debt_Service]]</f>
        <v>-2.6427245569039886</v>
      </c>
      <c r="U74" s="5">
        <f>PortfolioData[[#This Row],[Net Operating Income (NOI)]]-PortfolioData[[#This Row],[Annual_Debt_Service]]</f>
        <v>-482695.45850000001</v>
      </c>
      <c r="V74" s="5">
        <f>PortfolioData[[#This Row],[Net Operating Income (NOI)]]</f>
        <v>-350186</v>
      </c>
      <c r="W74" s="3">
        <f>PortfolioData[[#This Row],[Gross_Rental_Income]] / PortfolioData[[#This Row],[Purchase_Price]]</f>
        <v>6.7789517731980331E-2</v>
      </c>
      <c r="X74" s="3">
        <f>PortfolioData[[#This Row],[Net Operating Income (NOI)]]/PortfolioData[[#This Row],[Current_Value]]</f>
        <v>-4.8345334451781512E-2</v>
      </c>
      <c r="Y74" s="3">
        <f>(PortfolioData[[#This Row],[Current_Value]]-PortfolioData[[#This Row],[Purchase_Price]]+PortfolioData[[#This Row],[Net Operating Income (NOI)]]) / PortfolioData[[#This Row],[Purchase_Price]]</f>
        <v>-7.6663303676781161E-2</v>
      </c>
      <c r="Z74" s="5">
        <f>_xlfn.PERCENTRANK.INC(PortfolioData[ROI],PortfolioData[[#This Row],[ROI]])</f>
        <v>4.5999999999999999E-2</v>
      </c>
      <c r="AA74" s="3" t="str">
        <f>IF(PortfolioData[[#This Row],[ROI_Percentile]]&lt;=0.1,"Underperforming","Healthy")</f>
        <v>Underperforming</v>
      </c>
      <c r="AB74" s="3">
        <f>PortfolioData[[#This Row],[Debt_Outstanding]]/PortfolioData[[#This Row],[Current_Value]]</f>
        <v>0.44081318087874416</v>
      </c>
      <c r="AC74">
        <f>PortfolioData[[#This Row],[Units]]*PortfolioData[[#This Row],[Avg_Rent_per_Unit]]*12</f>
        <v>618552</v>
      </c>
      <c r="AD74" s="13">
        <f>PortfolioData[[#This Row],[Potential_Revenue]]-PortfolioData[[#This Row],[Gross_Rental_Income]]</f>
        <v>112464</v>
      </c>
      <c r="AE74" s="3">
        <f>IFERROR(PortfolioData[[#This Row],[Vacancy_Loss]]/PortfolioData[[#This Row],[Potential_Revenue]],0)</f>
        <v>0.18181818181818182</v>
      </c>
      <c r="AF74" s="17">
        <f xml:space="preserve"> (PortfolioData[[#This Row],[Vacancy_%]] * 0.4) + (PortfolioData[[#This Row],[Debt_Ratio]] * 0.3) + (PortfolioData[[#This Row],[Interest_Rate]]/100 * 0.3)</f>
        <v>0.21742122699089592</v>
      </c>
    </row>
    <row r="75" spans="1:32" x14ac:dyDescent="0.3">
      <c r="A75" t="s">
        <v>145</v>
      </c>
      <c r="B75" t="s">
        <v>15</v>
      </c>
      <c r="C75" t="s">
        <v>20</v>
      </c>
      <c r="D75">
        <v>2012</v>
      </c>
      <c r="E75">
        <v>11012923</v>
      </c>
      <c r="F75">
        <v>14649683.67</v>
      </c>
      <c r="G75">
        <v>35</v>
      </c>
      <c r="H75">
        <v>29</v>
      </c>
      <c r="I75">
        <v>5321</v>
      </c>
      <c r="J75">
        <v>591047</v>
      </c>
      <c r="K75">
        <v>346170</v>
      </c>
      <c r="L75">
        <v>6538070</v>
      </c>
      <c r="M75">
        <v>3.94</v>
      </c>
      <c r="N75" t="s">
        <v>24</v>
      </c>
      <c r="O75" s="5">
        <f>PortfolioData[[#This Row],[Occupied_Units]]*PortfolioData[[#This Row],[Avg_Rent_per_Unit]]*12</f>
        <v>1851708</v>
      </c>
      <c r="P75" s="3">
        <f>1-(PortfolioData[[#This Row],[Occupied_Units]]/PortfolioData[[#This Row],[Units]])</f>
        <v>0.17142857142857137</v>
      </c>
      <c r="Q75" s="5">
        <f>PortfolioData[[#This Row],[Gross_Rental_Income]] - PortfolioData[[#This Row],[Operating_Cost]] - PortfolioData[[#This Row],[Maintenance_Cost]]</f>
        <v>914491</v>
      </c>
      <c r="R75" s="5">
        <f>PortfolioData[[#This Row],[Adjusted_Debt_Outstanding]]*(PortfolioData[[#This Row],[Interest_Rate]]/100)</f>
        <v>257599.95799999998</v>
      </c>
      <c r="S75" s="5">
        <f>MIN(PortfolioData[[#This Row],[Debt_Outstanding]], PortfolioData[[#This Row],[Current_Value]]*0.8)</f>
        <v>6538070</v>
      </c>
      <c r="T75" s="5">
        <f>PortfolioData[[#This Row],[Net Operating Income (NOI)]]/PortfolioData[[#This Row],[Annual_Debt_Service]]</f>
        <v>3.5500432806747586</v>
      </c>
      <c r="U75" s="5">
        <f>PortfolioData[[#This Row],[Net Operating Income (NOI)]]-PortfolioData[[#This Row],[Annual_Debt_Service]]</f>
        <v>656891.04200000002</v>
      </c>
      <c r="V75" s="5">
        <f>PortfolioData[[#This Row],[Net Operating Income (NOI)]]</f>
        <v>914491</v>
      </c>
      <c r="W75" s="3">
        <f>PortfolioData[[#This Row],[Gross_Rental_Income]] / PortfolioData[[#This Row],[Purchase_Price]]</f>
        <v>0.16813955749985721</v>
      </c>
      <c r="X75" s="3">
        <f>PortfolioData[[#This Row],[Net Operating Income (NOI)]]/PortfolioData[[#This Row],[Current_Value]]</f>
        <v>6.2423941745084796E-2</v>
      </c>
      <c r="Y75" s="3">
        <f>(PortfolioData[[#This Row],[Current_Value]]-PortfolioData[[#This Row],[Purchase_Price]]+PortfolioData[[#This Row],[Net Operating Income (NOI)]]) / PortfolioData[[#This Row],[Purchase_Price]]</f>
        <v>0.41326464100402771</v>
      </c>
      <c r="Z75" s="5">
        <f>_xlfn.PERCENTRANK.INC(PortfolioData[ROI],PortfolioData[[#This Row],[ROI]])</f>
        <v>0.88500000000000001</v>
      </c>
      <c r="AA75" s="3" t="str">
        <f>IF(PortfolioData[[#This Row],[ROI_Percentile]]&lt;=0.1,"Underperforming","Healthy")</f>
        <v>Healthy</v>
      </c>
      <c r="AB75" s="3">
        <f>PortfolioData[[#This Row],[Debt_Outstanding]]/PortfolioData[[#This Row],[Current_Value]]</f>
        <v>0.44629427824362028</v>
      </c>
      <c r="AC75">
        <f>PortfolioData[[#This Row],[Units]]*PortfolioData[[#This Row],[Avg_Rent_per_Unit]]*12</f>
        <v>2234820</v>
      </c>
      <c r="AD75" s="13">
        <f>PortfolioData[[#This Row],[Potential_Revenue]]-PortfolioData[[#This Row],[Gross_Rental_Income]]</f>
        <v>383112</v>
      </c>
      <c r="AE75" s="3">
        <f>IFERROR(PortfolioData[[#This Row],[Vacancy_Loss]]/PortfolioData[[#This Row],[Potential_Revenue]],0)</f>
        <v>0.17142857142857143</v>
      </c>
      <c r="AF75" s="17">
        <f xml:space="preserve"> (PortfolioData[[#This Row],[Vacancy_%]] * 0.4) + (PortfolioData[[#This Row],[Debt_Ratio]] * 0.3) + (PortfolioData[[#This Row],[Interest_Rate]]/100 * 0.3)</f>
        <v>0.21427971204451463</v>
      </c>
    </row>
    <row r="76" spans="1:32" x14ac:dyDescent="0.3">
      <c r="A76" t="s">
        <v>96</v>
      </c>
      <c r="B76" t="s">
        <v>22</v>
      </c>
      <c r="C76" t="s">
        <v>30</v>
      </c>
      <c r="D76">
        <v>2012</v>
      </c>
      <c r="E76">
        <v>23147058</v>
      </c>
      <c r="F76">
        <v>30423002.379999999</v>
      </c>
      <c r="G76">
        <v>68</v>
      </c>
      <c r="H76">
        <v>53</v>
      </c>
      <c r="I76">
        <v>2650</v>
      </c>
      <c r="J76">
        <v>499229</v>
      </c>
      <c r="K76">
        <v>411343</v>
      </c>
      <c r="L76">
        <v>11554608</v>
      </c>
      <c r="M76">
        <v>3.54</v>
      </c>
      <c r="N76" t="s">
        <v>24</v>
      </c>
      <c r="O76" s="5">
        <f>PortfolioData[[#This Row],[Occupied_Units]]*PortfolioData[[#This Row],[Avg_Rent_per_Unit]]*12</f>
        <v>1685400</v>
      </c>
      <c r="P76" s="3">
        <f>1-(PortfolioData[[#This Row],[Occupied_Units]]/PortfolioData[[#This Row],[Units]])</f>
        <v>0.22058823529411764</v>
      </c>
      <c r="Q76" s="5">
        <f>PortfolioData[[#This Row],[Gross_Rental_Income]] - PortfolioData[[#This Row],[Operating_Cost]] - PortfolioData[[#This Row],[Maintenance_Cost]]</f>
        <v>774828</v>
      </c>
      <c r="R76" s="5">
        <f>PortfolioData[[#This Row],[Adjusted_Debt_Outstanding]]*(PortfolioData[[#This Row],[Interest_Rate]]/100)</f>
        <v>409033.12320000003</v>
      </c>
      <c r="S76" s="5">
        <f>MIN(PortfolioData[[#This Row],[Debt_Outstanding]], PortfolioData[[#This Row],[Current_Value]]*0.8)</f>
        <v>11554608</v>
      </c>
      <c r="T76" s="5">
        <f>PortfolioData[[#This Row],[Net Operating Income (NOI)]]/PortfolioData[[#This Row],[Annual_Debt_Service]]</f>
        <v>1.894291577020137</v>
      </c>
      <c r="U76" s="5">
        <f>PortfolioData[[#This Row],[Net Operating Income (NOI)]]-PortfolioData[[#This Row],[Annual_Debt_Service]]</f>
        <v>365794.87679999997</v>
      </c>
      <c r="V76" s="5">
        <f>PortfolioData[[#This Row],[Net Operating Income (NOI)]]</f>
        <v>774828</v>
      </c>
      <c r="W76" s="3">
        <f>PortfolioData[[#This Row],[Gross_Rental_Income]] / PortfolioData[[#This Row],[Purchase_Price]]</f>
        <v>7.2812709070846068E-2</v>
      </c>
      <c r="X76" s="3">
        <f>PortfolioData[[#This Row],[Net Operating Income (NOI)]]/PortfolioData[[#This Row],[Current_Value]]</f>
        <v>2.5468492238930693E-2</v>
      </c>
      <c r="Y76" s="3">
        <f>(PortfolioData[[#This Row],[Current_Value]]-PortfolioData[[#This Row],[Purchase_Price]]+PortfolioData[[#This Row],[Net Operating Income (NOI)]]) / PortfolioData[[#This Row],[Purchase_Price]]</f>
        <v>0.34780974670733528</v>
      </c>
      <c r="Z76" s="5">
        <f>_xlfn.PERCENTRANK.INC(PortfolioData[ROI],PortfolioData[[#This Row],[ROI]])</f>
        <v>0.77100000000000002</v>
      </c>
      <c r="AA76" s="3" t="str">
        <f>IF(PortfolioData[[#This Row],[ROI_Percentile]]&lt;=0.1,"Underperforming","Healthy")</f>
        <v>Healthy</v>
      </c>
      <c r="AB76" s="3">
        <f>PortfolioData[[#This Row],[Debt_Outstanding]]/PortfolioData[[#This Row],[Current_Value]]</f>
        <v>0.37979841225650918</v>
      </c>
      <c r="AC76">
        <f>PortfolioData[[#This Row],[Units]]*PortfolioData[[#This Row],[Avg_Rent_per_Unit]]*12</f>
        <v>2162400</v>
      </c>
      <c r="AD76" s="13">
        <f>PortfolioData[[#This Row],[Potential_Revenue]]-PortfolioData[[#This Row],[Gross_Rental_Income]]</f>
        <v>477000</v>
      </c>
      <c r="AE76" s="3">
        <f>IFERROR(PortfolioData[[#This Row],[Vacancy_Loss]]/PortfolioData[[#This Row],[Potential_Revenue]],0)</f>
        <v>0.22058823529411764</v>
      </c>
      <c r="AF76" s="17">
        <f xml:space="preserve"> (PortfolioData[[#This Row],[Vacancy_%]] * 0.4) + (PortfolioData[[#This Row],[Debt_Ratio]] * 0.3) + (PortfolioData[[#This Row],[Interest_Rate]]/100 * 0.3)</f>
        <v>0.2127948177945998</v>
      </c>
    </row>
    <row r="77" spans="1:32" x14ac:dyDescent="0.3">
      <c r="A77" t="s">
        <v>40</v>
      </c>
      <c r="B77" t="s">
        <v>19</v>
      </c>
      <c r="C77" t="s">
        <v>23</v>
      </c>
      <c r="D77">
        <v>2013</v>
      </c>
      <c r="E77">
        <v>9766332</v>
      </c>
      <c r="F77">
        <v>10034917.65</v>
      </c>
      <c r="G77">
        <v>63</v>
      </c>
      <c r="H77">
        <v>59</v>
      </c>
      <c r="I77">
        <v>4468</v>
      </c>
      <c r="J77">
        <v>333268</v>
      </c>
      <c r="K77">
        <v>283180</v>
      </c>
      <c r="L77">
        <v>5834703</v>
      </c>
      <c r="M77">
        <v>4.22</v>
      </c>
      <c r="N77" t="s">
        <v>24</v>
      </c>
      <c r="O77" s="5">
        <f>PortfolioData[[#This Row],[Occupied_Units]]*PortfolioData[[#This Row],[Avg_Rent_per_Unit]]*12</f>
        <v>3163344</v>
      </c>
      <c r="P77" s="3">
        <f>1-(PortfolioData[[#This Row],[Occupied_Units]]/PortfolioData[[#This Row],[Units]])</f>
        <v>6.3492063492063489E-2</v>
      </c>
      <c r="Q77" s="5">
        <f>PortfolioData[[#This Row],[Gross_Rental_Income]] - PortfolioData[[#This Row],[Operating_Cost]] - PortfolioData[[#This Row],[Maintenance_Cost]]</f>
        <v>2546896</v>
      </c>
      <c r="R77" s="5">
        <f>PortfolioData[[#This Row],[Adjusted_Debt_Outstanding]]*(PortfolioData[[#This Row],[Interest_Rate]]/100)</f>
        <v>246224.46659999996</v>
      </c>
      <c r="S77" s="5">
        <f>MIN(PortfolioData[[#This Row],[Debt_Outstanding]], PortfolioData[[#This Row],[Current_Value]]*0.8)</f>
        <v>5834703</v>
      </c>
      <c r="T77" s="5">
        <f>PortfolioData[[#This Row],[Net Operating Income (NOI)]]/PortfolioData[[#This Row],[Annual_Debt_Service]]</f>
        <v>10.343797410423551</v>
      </c>
      <c r="U77" s="5">
        <f>PortfolioData[[#This Row],[Net Operating Income (NOI)]]-PortfolioData[[#This Row],[Annual_Debt_Service]]</f>
        <v>2300671.5334000001</v>
      </c>
      <c r="V77" s="5">
        <f>PortfolioData[[#This Row],[Net Operating Income (NOI)]]</f>
        <v>2546896</v>
      </c>
      <c r="W77" s="3">
        <f>PortfolioData[[#This Row],[Gross_Rental_Income]] / PortfolioData[[#This Row],[Purchase_Price]]</f>
        <v>0.3239029760610227</v>
      </c>
      <c r="X77" s="3">
        <f>PortfolioData[[#This Row],[Net Operating Income (NOI)]]/PortfolioData[[#This Row],[Current_Value]]</f>
        <v>0.25380337824695554</v>
      </c>
      <c r="Y77" s="3">
        <f>(PortfolioData[[#This Row],[Current_Value]]-PortfolioData[[#This Row],[Purchase_Price]]+PortfolioData[[#This Row],[Net Operating Income (NOI)]]) / PortfolioData[[#This Row],[Purchase_Price]]</f>
        <v>0.28828445008832387</v>
      </c>
      <c r="Z77" s="5">
        <f>_xlfn.PERCENTRANK.INC(PortfolioData[ROI],PortfolioData[[#This Row],[ROI]])</f>
        <v>0.64400000000000002</v>
      </c>
      <c r="AA77" s="3" t="str">
        <f>IF(PortfolioData[[#This Row],[ROI_Percentile]]&lt;=0.1,"Underperforming","Healthy")</f>
        <v>Healthy</v>
      </c>
      <c r="AB77" s="3">
        <f>PortfolioData[[#This Row],[Debt_Outstanding]]/PortfolioData[[#This Row],[Current_Value]]</f>
        <v>0.58144004799082727</v>
      </c>
      <c r="AC77">
        <f>PortfolioData[[#This Row],[Units]]*PortfolioData[[#This Row],[Avg_Rent_per_Unit]]*12</f>
        <v>3377808</v>
      </c>
      <c r="AD77" s="13">
        <f>PortfolioData[[#This Row],[Potential_Revenue]]-PortfolioData[[#This Row],[Gross_Rental_Income]]</f>
        <v>214464</v>
      </c>
      <c r="AE77" s="3">
        <f>IFERROR(PortfolioData[[#This Row],[Vacancy_Loss]]/PortfolioData[[#This Row],[Potential_Revenue]],0)</f>
        <v>6.3492063492063489E-2</v>
      </c>
      <c r="AF77" s="17">
        <f xml:space="preserve"> (PortfolioData[[#This Row],[Vacancy_%]] * 0.4) + (PortfolioData[[#This Row],[Debt_Ratio]] * 0.3) + (PortfolioData[[#This Row],[Interest_Rate]]/100 * 0.3)</f>
        <v>0.21248883979407357</v>
      </c>
    </row>
    <row r="78" spans="1:32" x14ac:dyDescent="0.3">
      <c r="A78" t="s">
        <v>88</v>
      </c>
      <c r="B78" t="s">
        <v>19</v>
      </c>
      <c r="C78" t="s">
        <v>23</v>
      </c>
      <c r="D78">
        <v>2010</v>
      </c>
      <c r="E78">
        <v>19922597</v>
      </c>
      <c r="F78">
        <v>20596547.260000002</v>
      </c>
      <c r="G78">
        <v>29</v>
      </c>
      <c r="H78">
        <v>24</v>
      </c>
      <c r="I78">
        <v>4394</v>
      </c>
      <c r="J78">
        <v>514769</v>
      </c>
      <c r="K78">
        <v>430552</v>
      </c>
      <c r="L78">
        <v>8686885</v>
      </c>
      <c r="M78">
        <v>4.82</v>
      </c>
      <c r="N78" t="s">
        <v>24</v>
      </c>
      <c r="O78" s="5">
        <f>PortfolioData[[#This Row],[Occupied_Units]]*PortfolioData[[#This Row],[Avg_Rent_per_Unit]]*12</f>
        <v>1265472</v>
      </c>
      <c r="P78" s="3">
        <f>1-(PortfolioData[[#This Row],[Occupied_Units]]/PortfolioData[[#This Row],[Units]])</f>
        <v>0.17241379310344829</v>
      </c>
      <c r="Q78" s="5">
        <f>PortfolioData[[#This Row],[Gross_Rental_Income]] - PortfolioData[[#This Row],[Operating_Cost]] - PortfolioData[[#This Row],[Maintenance_Cost]]</f>
        <v>320151</v>
      </c>
      <c r="R78" s="5">
        <f>PortfolioData[[#This Row],[Adjusted_Debt_Outstanding]]*(PortfolioData[[#This Row],[Interest_Rate]]/100)</f>
        <v>418707.85700000002</v>
      </c>
      <c r="S78" s="5">
        <f>MIN(PortfolioData[[#This Row],[Debt_Outstanding]], PortfolioData[[#This Row],[Current_Value]]*0.8)</f>
        <v>8686885</v>
      </c>
      <c r="T78" s="5">
        <f>PortfolioData[[#This Row],[Net Operating Income (NOI)]]/PortfolioData[[#This Row],[Annual_Debt_Service]]</f>
        <v>0.76461665251244615</v>
      </c>
      <c r="U78" s="5">
        <f>PortfolioData[[#This Row],[Net Operating Income (NOI)]]-PortfolioData[[#This Row],[Annual_Debt_Service]]</f>
        <v>-98556.857000000018</v>
      </c>
      <c r="V78" s="5">
        <f>PortfolioData[[#This Row],[Net Operating Income (NOI)]]</f>
        <v>320151</v>
      </c>
      <c r="W78" s="3">
        <f>PortfolioData[[#This Row],[Gross_Rental_Income]] / PortfolioData[[#This Row],[Purchase_Price]]</f>
        <v>6.3519429720934481E-2</v>
      </c>
      <c r="X78" s="3">
        <f>PortfolioData[[#This Row],[Net Operating Income (NOI)]]/PortfolioData[[#This Row],[Current_Value]]</f>
        <v>1.5543915975749809E-2</v>
      </c>
      <c r="Y78" s="3">
        <f>(PortfolioData[[#This Row],[Current_Value]]-PortfolioData[[#This Row],[Purchase_Price]]+PortfolioData[[#This Row],[Net Operating Income (NOI)]]) / PortfolioData[[#This Row],[Purchase_Price]]</f>
        <v>4.9898176427500975E-2</v>
      </c>
      <c r="Z78" s="5">
        <f>_xlfn.PERCENTRANK.INC(PortfolioData[ROI],PortfolioData[[#This Row],[ROI]])</f>
        <v>0.20799999999999999</v>
      </c>
      <c r="AA78" s="3" t="str">
        <f>IF(PortfolioData[[#This Row],[ROI_Percentile]]&lt;=0.1,"Underperforming","Healthy")</f>
        <v>Healthy</v>
      </c>
      <c r="AB78" s="3">
        <f>PortfolioData[[#This Row],[Debt_Outstanding]]/PortfolioData[[#This Row],[Current_Value]]</f>
        <v>0.42176413795678097</v>
      </c>
      <c r="AC78">
        <f>PortfolioData[[#This Row],[Units]]*PortfolioData[[#This Row],[Avg_Rent_per_Unit]]*12</f>
        <v>1529112</v>
      </c>
      <c r="AD78" s="13">
        <f>PortfolioData[[#This Row],[Potential_Revenue]]-PortfolioData[[#This Row],[Gross_Rental_Income]]</f>
        <v>263640</v>
      </c>
      <c r="AE78" s="3">
        <f>IFERROR(PortfolioData[[#This Row],[Vacancy_Loss]]/PortfolioData[[#This Row],[Potential_Revenue]],0)</f>
        <v>0.17241379310344829</v>
      </c>
      <c r="AF78" s="17">
        <f xml:space="preserve"> (PortfolioData[[#This Row],[Vacancy_%]] * 0.4) + (PortfolioData[[#This Row],[Debt_Ratio]] * 0.3) + (PortfolioData[[#This Row],[Interest_Rate]]/100 * 0.3)</f>
        <v>0.20995475862841359</v>
      </c>
    </row>
    <row r="79" spans="1:32" x14ac:dyDescent="0.3">
      <c r="A79" t="s">
        <v>160</v>
      </c>
      <c r="B79" t="s">
        <v>19</v>
      </c>
      <c r="C79" t="s">
        <v>20</v>
      </c>
      <c r="D79">
        <v>2012</v>
      </c>
      <c r="E79">
        <v>7715755</v>
      </c>
      <c r="F79">
        <v>7352123.3899999997</v>
      </c>
      <c r="G79">
        <v>25</v>
      </c>
      <c r="H79">
        <v>22</v>
      </c>
      <c r="I79">
        <v>2175</v>
      </c>
      <c r="J79">
        <v>444731</v>
      </c>
      <c r="K79">
        <v>439428</v>
      </c>
      <c r="L79">
        <v>3338402</v>
      </c>
      <c r="M79">
        <v>7.35</v>
      </c>
      <c r="N79" t="s">
        <v>17</v>
      </c>
      <c r="O79" s="5">
        <f>PortfolioData[[#This Row],[Occupied_Units]]*PortfolioData[[#This Row],[Avg_Rent_per_Unit]]*12</f>
        <v>574200</v>
      </c>
      <c r="P79" s="3">
        <f>1-(PortfolioData[[#This Row],[Occupied_Units]]/PortfolioData[[#This Row],[Units]])</f>
        <v>0.12</v>
      </c>
      <c r="Q79" s="5">
        <f>PortfolioData[[#This Row],[Gross_Rental_Income]] - PortfolioData[[#This Row],[Operating_Cost]] - PortfolioData[[#This Row],[Maintenance_Cost]]</f>
        <v>-309959</v>
      </c>
      <c r="R79" s="5">
        <f>PortfolioData[[#This Row],[Adjusted_Debt_Outstanding]]*(PortfolioData[[#This Row],[Interest_Rate]]/100)</f>
        <v>245372.54699999999</v>
      </c>
      <c r="S79" s="5">
        <f>MIN(PortfolioData[[#This Row],[Debt_Outstanding]], PortfolioData[[#This Row],[Current_Value]]*0.8)</f>
        <v>3338402</v>
      </c>
      <c r="T79" s="5">
        <f>PortfolioData[[#This Row],[Net Operating Income (NOI)]]/PortfolioData[[#This Row],[Annual_Debt_Service]]</f>
        <v>-1.2632179263314245</v>
      </c>
      <c r="U79" s="5">
        <f>PortfolioData[[#This Row],[Net Operating Income (NOI)]]-PortfolioData[[#This Row],[Annual_Debt_Service]]</f>
        <v>-555331.54700000002</v>
      </c>
      <c r="V79" s="5">
        <f>PortfolioData[[#This Row],[Net Operating Income (NOI)]]</f>
        <v>-309959</v>
      </c>
      <c r="W79" s="3">
        <f>PortfolioData[[#This Row],[Gross_Rental_Income]] / PortfolioData[[#This Row],[Purchase_Price]]</f>
        <v>7.4419159239763319E-2</v>
      </c>
      <c r="X79" s="3">
        <f>PortfolioData[[#This Row],[Net Operating Income (NOI)]]/PortfolioData[[#This Row],[Current_Value]]</f>
        <v>-4.2159112892690448E-2</v>
      </c>
      <c r="Y79" s="3">
        <f>(PortfolioData[[#This Row],[Current_Value]]-PortfolioData[[#This Row],[Purchase_Price]]+PortfolioData[[#This Row],[Net Operating Income (NOI)]]) / PortfolioData[[#This Row],[Purchase_Price]]</f>
        <v>-8.7300673751305E-2</v>
      </c>
      <c r="Z79" s="5">
        <f>_xlfn.PERCENTRANK.INC(PortfolioData[ROI],PortfolioData[[#This Row],[ROI]])</f>
        <v>0.02</v>
      </c>
      <c r="AA79" s="3" t="str">
        <f>IF(PortfolioData[[#This Row],[ROI_Percentile]]&lt;=0.1,"Underperforming","Healthy")</f>
        <v>Underperforming</v>
      </c>
      <c r="AB79" s="3">
        <f>PortfolioData[[#This Row],[Debt_Outstanding]]/PortfolioData[[#This Row],[Current_Value]]</f>
        <v>0.4540731735461257</v>
      </c>
      <c r="AC79">
        <f>PortfolioData[[#This Row],[Units]]*PortfolioData[[#This Row],[Avg_Rent_per_Unit]]*12</f>
        <v>652500</v>
      </c>
      <c r="AD79" s="13">
        <f>PortfolioData[[#This Row],[Potential_Revenue]]-PortfolioData[[#This Row],[Gross_Rental_Income]]</f>
        <v>78300</v>
      </c>
      <c r="AE79" s="3">
        <f>IFERROR(PortfolioData[[#This Row],[Vacancy_Loss]]/PortfolioData[[#This Row],[Potential_Revenue]],0)</f>
        <v>0.12</v>
      </c>
      <c r="AF79" s="17">
        <f xml:space="preserve"> (PortfolioData[[#This Row],[Vacancy_%]] * 0.4) + (PortfolioData[[#This Row],[Debt_Ratio]] * 0.3) + (PortfolioData[[#This Row],[Interest_Rate]]/100 * 0.3)</f>
        <v>0.20627195206383767</v>
      </c>
    </row>
    <row r="80" spans="1:32" x14ac:dyDescent="0.3">
      <c r="A80" t="s">
        <v>132</v>
      </c>
      <c r="B80" t="s">
        <v>15</v>
      </c>
      <c r="C80" t="s">
        <v>20</v>
      </c>
      <c r="D80">
        <v>2015</v>
      </c>
      <c r="E80">
        <v>18058310</v>
      </c>
      <c r="F80">
        <v>17382701.050000001</v>
      </c>
      <c r="G80">
        <v>54</v>
      </c>
      <c r="H80">
        <v>46</v>
      </c>
      <c r="I80">
        <v>3351</v>
      </c>
      <c r="J80">
        <v>548876</v>
      </c>
      <c r="K80">
        <v>341003</v>
      </c>
      <c r="L80">
        <v>7218991</v>
      </c>
      <c r="M80">
        <v>7.39</v>
      </c>
      <c r="N80" t="s">
        <v>17</v>
      </c>
      <c r="O80" s="5">
        <f>PortfolioData[[#This Row],[Occupied_Units]]*PortfolioData[[#This Row],[Avg_Rent_per_Unit]]*12</f>
        <v>1849752</v>
      </c>
      <c r="P80" s="3">
        <f>1-(PortfolioData[[#This Row],[Occupied_Units]]/PortfolioData[[#This Row],[Units]])</f>
        <v>0.14814814814814814</v>
      </c>
      <c r="Q80" s="5">
        <f>PortfolioData[[#This Row],[Gross_Rental_Income]] - PortfolioData[[#This Row],[Operating_Cost]] - PortfolioData[[#This Row],[Maintenance_Cost]]</f>
        <v>959873</v>
      </c>
      <c r="R80" s="5">
        <f>PortfolioData[[#This Row],[Adjusted_Debt_Outstanding]]*(PortfolioData[[#This Row],[Interest_Rate]]/100)</f>
        <v>533483.43489999999</v>
      </c>
      <c r="S80" s="5">
        <f>MIN(PortfolioData[[#This Row],[Debt_Outstanding]], PortfolioData[[#This Row],[Current_Value]]*0.8)</f>
        <v>7218991</v>
      </c>
      <c r="T80" s="5">
        <f>PortfolioData[[#This Row],[Net Operating Income (NOI)]]/PortfolioData[[#This Row],[Annual_Debt_Service]]</f>
        <v>1.7992554917472283</v>
      </c>
      <c r="U80" s="5">
        <f>PortfolioData[[#This Row],[Net Operating Income (NOI)]]-PortfolioData[[#This Row],[Annual_Debt_Service]]</f>
        <v>426389.56510000001</v>
      </c>
      <c r="V80" s="5">
        <f>PortfolioData[[#This Row],[Net Operating Income (NOI)]]</f>
        <v>959873</v>
      </c>
      <c r="W80" s="3">
        <f>PortfolioData[[#This Row],[Gross_Rental_Income]] / PortfolioData[[#This Row],[Purchase_Price]]</f>
        <v>0.10243217665440454</v>
      </c>
      <c r="X80" s="3">
        <f>PortfolioData[[#This Row],[Net Operating Income (NOI)]]/PortfolioData[[#This Row],[Current_Value]]</f>
        <v>5.5220014268150805E-2</v>
      </c>
      <c r="Y80" s="3">
        <f>(PortfolioData[[#This Row],[Current_Value]]-PortfolioData[[#This Row],[Purchase_Price]]+PortfolioData[[#This Row],[Net Operating Income (NOI)]]) / PortfolioData[[#This Row],[Purchase_Price]]</f>
        <v>1.5741453657623593E-2</v>
      </c>
      <c r="Z80" s="5">
        <f>_xlfn.PERCENTRANK.INC(PortfolioData[ROI],PortfolioData[[#This Row],[ROI]])</f>
        <v>0.187</v>
      </c>
      <c r="AA80" s="3" t="str">
        <f>IF(PortfolioData[[#This Row],[ROI_Percentile]]&lt;=0.1,"Underperforming","Healthy")</f>
        <v>Healthy</v>
      </c>
      <c r="AB80" s="3">
        <f>PortfolioData[[#This Row],[Debt_Outstanding]]/PortfolioData[[#This Row],[Current_Value]]</f>
        <v>0.41529742582784623</v>
      </c>
      <c r="AC80">
        <f>PortfolioData[[#This Row],[Units]]*PortfolioData[[#This Row],[Avg_Rent_per_Unit]]*12</f>
        <v>2171448</v>
      </c>
      <c r="AD80" s="13">
        <f>PortfolioData[[#This Row],[Potential_Revenue]]-PortfolioData[[#This Row],[Gross_Rental_Income]]</f>
        <v>321696</v>
      </c>
      <c r="AE80" s="3">
        <f>IFERROR(PortfolioData[[#This Row],[Vacancy_Loss]]/PortfolioData[[#This Row],[Potential_Revenue]],0)</f>
        <v>0.14814814814814814</v>
      </c>
      <c r="AF80" s="17">
        <f xml:space="preserve"> (PortfolioData[[#This Row],[Vacancy_%]] * 0.4) + (PortfolioData[[#This Row],[Debt_Ratio]] * 0.3) + (PortfolioData[[#This Row],[Interest_Rate]]/100 * 0.3)</f>
        <v>0.20601848700761313</v>
      </c>
    </row>
    <row r="81" spans="1:32" x14ac:dyDescent="0.3">
      <c r="A81" t="s">
        <v>141</v>
      </c>
      <c r="B81" t="s">
        <v>22</v>
      </c>
      <c r="C81" t="s">
        <v>30</v>
      </c>
      <c r="D81">
        <v>2018</v>
      </c>
      <c r="E81">
        <v>24489027</v>
      </c>
      <c r="F81">
        <v>30291942.559999999</v>
      </c>
      <c r="G81">
        <v>13</v>
      </c>
      <c r="H81">
        <v>10</v>
      </c>
      <c r="I81">
        <v>4603</v>
      </c>
      <c r="J81">
        <v>357675</v>
      </c>
      <c r="K81">
        <v>442030</v>
      </c>
      <c r="L81">
        <v>9203337</v>
      </c>
      <c r="M81">
        <v>7.35</v>
      </c>
      <c r="N81" t="s">
        <v>17</v>
      </c>
      <c r="O81" s="5">
        <f>PortfolioData[[#This Row],[Occupied_Units]]*PortfolioData[[#This Row],[Avg_Rent_per_Unit]]*12</f>
        <v>552360</v>
      </c>
      <c r="P81" s="3">
        <f>1-(PortfolioData[[#This Row],[Occupied_Units]]/PortfolioData[[#This Row],[Units]])</f>
        <v>0.23076923076923073</v>
      </c>
      <c r="Q81" s="5">
        <f>PortfolioData[[#This Row],[Gross_Rental_Income]] - PortfolioData[[#This Row],[Operating_Cost]] - PortfolioData[[#This Row],[Maintenance_Cost]]</f>
        <v>-247345</v>
      </c>
      <c r="R81" s="5">
        <f>PortfolioData[[#This Row],[Adjusted_Debt_Outstanding]]*(PortfolioData[[#This Row],[Interest_Rate]]/100)</f>
        <v>676445.26949999994</v>
      </c>
      <c r="S81" s="5">
        <f>MIN(PortfolioData[[#This Row],[Debt_Outstanding]], PortfolioData[[#This Row],[Current_Value]]*0.8)</f>
        <v>9203337</v>
      </c>
      <c r="T81" s="5">
        <f>PortfolioData[[#This Row],[Net Operating Income (NOI)]]/PortfolioData[[#This Row],[Annual_Debt_Service]]</f>
        <v>-0.36565412037374007</v>
      </c>
      <c r="U81" s="5">
        <f>PortfolioData[[#This Row],[Net Operating Income (NOI)]]-PortfolioData[[#This Row],[Annual_Debt_Service]]</f>
        <v>-923790.26949999994</v>
      </c>
      <c r="V81" s="5">
        <f>PortfolioData[[#This Row],[Net Operating Income (NOI)]]</f>
        <v>-247345</v>
      </c>
      <c r="W81" s="3">
        <f>PortfolioData[[#This Row],[Gross_Rental_Income]] / PortfolioData[[#This Row],[Purchase_Price]]</f>
        <v>2.2555408183428438E-2</v>
      </c>
      <c r="X81" s="3">
        <f>PortfolioData[[#This Row],[Net Operating Income (NOI)]]/PortfolioData[[#This Row],[Current_Value]]</f>
        <v>-8.1653726732802846E-3</v>
      </c>
      <c r="Y81" s="3">
        <f>(PortfolioData[[#This Row],[Current_Value]]-PortfolioData[[#This Row],[Purchase_Price]]+PortfolioData[[#This Row],[Net Operating Income (NOI)]]) / PortfolioData[[#This Row],[Purchase_Price]]</f>
        <v>0.22685958735722733</v>
      </c>
      <c r="Z81" s="5">
        <f>_xlfn.PERCENTRANK.INC(PortfolioData[ROI],PortfolioData[[#This Row],[ROI]])</f>
        <v>0.496</v>
      </c>
      <c r="AA81" s="3" t="str">
        <f>IF(PortfolioData[[#This Row],[ROI_Percentile]]&lt;=0.1,"Underperforming","Healthy")</f>
        <v>Healthy</v>
      </c>
      <c r="AB81" s="3">
        <f>PortfolioData[[#This Row],[Debt_Outstanding]]/PortfolioData[[#This Row],[Current_Value]]</f>
        <v>0.30382128784810425</v>
      </c>
      <c r="AC81">
        <f>PortfolioData[[#This Row],[Units]]*PortfolioData[[#This Row],[Avg_Rent_per_Unit]]*12</f>
        <v>718068</v>
      </c>
      <c r="AD81" s="13">
        <f>PortfolioData[[#This Row],[Potential_Revenue]]-PortfolioData[[#This Row],[Gross_Rental_Income]]</f>
        <v>165708</v>
      </c>
      <c r="AE81" s="3">
        <f>IFERROR(PortfolioData[[#This Row],[Vacancy_Loss]]/PortfolioData[[#This Row],[Potential_Revenue]],0)</f>
        <v>0.23076923076923078</v>
      </c>
      <c r="AF81" s="17">
        <f xml:space="preserve"> (PortfolioData[[#This Row],[Vacancy_%]] * 0.4) + (PortfolioData[[#This Row],[Debt_Ratio]] * 0.3) + (PortfolioData[[#This Row],[Interest_Rate]]/100 * 0.3)</f>
        <v>0.20550407866212356</v>
      </c>
    </row>
    <row r="82" spans="1:32" x14ac:dyDescent="0.3">
      <c r="A82" t="s">
        <v>144</v>
      </c>
      <c r="B82" t="s">
        <v>27</v>
      </c>
      <c r="C82" t="s">
        <v>23</v>
      </c>
      <c r="D82">
        <v>2010</v>
      </c>
      <c r="E82">
        <v>6293622</v>
      </c>
      <c r="F82">
        <v>7423619.6299999999</v>
      </c>
      <c r="G82">
        <v>29</v>
      </c>
      <c r="H82">
        <v>24</v>
      </c>
      <c r="I82">
        <v>5418</v>
      </c>
      <c r="J82">
        <v>769995</v>
      </c>
      <c r="K82">
        <v>161522</v>
      </c>
      <c r="L82">
        <v>2703278</v>
      </c>
      <c r="M82">
        <v>6.71</v>
      </c>
      <c r="N82" t="s">
        <v>24</v>
      </c>
      <c r="O82" s="5">
        <f>PortfolioData[[#This Row],[Occupied_Units]]*PortfolioData[[#This Row],[Avg_Rent_per_Unit]]*12</f>
        <v>1560384</v>
      </c>
      <c r="P82" s="3">
        <f>1-(PortfolioData[[#This Row],[Occupied_Units]]/PortfolioData[[#This Row],[Units]])</f>
        <v>0.17241379310344829</v>
      </c>
      <c r="Q82" s="5">
        <f>PortfolioData[[#This Row],[Gross_Rental_Income]] - PortfolioData[[#This Row],[Operating_Cost]] - PortfolioData[[#This Row],[Maintenance_Cost]]</f>
        <v>628867</v>
      </c>
      <c r="R82" s="5">
        <f>PortfolioData[[#This Row],[Adjusted_Debt_Outstanding]]*(PortfolioData[[#This Row],[Interest_Rate]]/100)</f>
        <v>181389.95379999999</v>
      </c>
      <c r="S82" s="5">
        <f>MIN(PortfolioData[[#This Row],[Debt_Outstanding]], PortfolioData[[#This Row],[Current_Value]]*0.8)</f>
        <v>2703278</v>
      </c>
      <c r="T82" s="5">
        <f>PortfolioData[[#This Row],[Net Operating Income (NOI)]]/PortfolioData[[#This Row],[Annual_Debt_Service]]</f>
        <v>3.4669340105427606</v>
      </c>
      <c r="U82" s="5">
        <f>PortfolioData[[#This Row],[Net Operating Income (NOI)]]-PortfolioData[[#This Row],[Annual_Debt_Service]]</f>
        <v>447477.04619999998</v>
      </c>
      <c r="V82" s="5">
        <f>PortfolioData[[#This Row],[Net Operating Income (NOI)]]</f>
        <v>628867</v>
      </c>
      <c r="W82" s="3">
        <f>PortfolioData[[#This Row],[Gross_Rental_Income]] / PortfolioData[[#This Row],[Purchase_Price]]</f>
        <v>0.24793100062253501</v>
      </c>
      <c r="X82" s="3">
        <f>PortfolioData[[#This Row],[Net Operating Income (NOI)]]/PortfolioData[[#This Row],[Current_Value]]</f>
        <v>8.4711640862989643E-2</v>
      </c>
      <c r="Y82" s="3">
        <f>(PortfolioData[[#This Row],[Current_Value]]-PortfolioData[[#This Row],[Purchase_Price]]+PortfolioData[[#This Row],[Net Operating Income (NOI)]]) / PortfolioData[[#This Row],[Purchase_Price]]</f>
        <v>0.27946778977193099</v>
      </c>
      <c r="Z82" s="5">
        <f>_xlfn.PERCENTRANK.INC(PortfolioData[ROI],PortfolioData[[#This Row],[ROI]])</f>
        <v>0.624</v>
      </c>
      <c r="AA82" s="3" t="str">
        <f>IF(PortfolioData[[#This Row],[ROI_Percentile]]&lt;=0.1,"Underperforming","Healthy")</f>
        <v>Healthy</v>
      </c>
      <c r="AB82" s="3">
        <f>PortfolioData[[#This Row],[Debt_Outstanding]]/PortfolioData[[#This Row],[Current_Value]]</f>
        <v>0.36414554283945716</v>
      </c>
      <c r="AC82">
        <f>PortfolioData[[#This Row],[Units]]*PortfolioData[[#This Row],[Avg_Rent_per_Unit]]*12</f>
        <v>1885464</v>
      </c>
      <c r="AD82" s="13">
        <f>PortfolioData[[#This Row],[Potential_Revenue]]-PortfolioData[[#This Row],[Gross_Rental_Income]]</f>
        <v>325080</v>
      </c>
      <c r="AE82" s="3">
        <f>IFERROR(PortfolioData[[#This Row],[Vacancy_Loss]]/PortfolioData[[#This Row],[Potential_Revenue]],0)</f>
        <v>0.17241379310344829</v>
      </c>
      <c r="AF82" s="17">
        <f xml:space="preserve"> (PortfolioData[[#This Row],[Vacancy_%]] * 0.4) + (PortfolioData[[#This Row],[Debt_Ratio]] * 0.3) + (PortfolioData[[#This Row],[Interest_Rate]]/100 * 0.3)</f>
        <v>0.19833918009321647</v>
      </c>
    </row>
    <row r="83" spans="1:32" x14ac:dyDescent="0.3">
      <c r="A83" t="s">
        <v>91</v>
      </c>
      <c r="B83" t="s">
        <v>22</v>
      </c>
      <c r="C83" t="s">
        <v>20</v>
      </c>
      <c r="D83">
        <v>2020</v>
      </c>
      <c r="E83">
        <v>16496892</v>
      </c>
      <c r="F83">
        <v>22416478.52</v>
      </c>
      <c r="G83">
        <v>35</v>
      </c>
      <c r="H83">
        <v>26</v>
      </c>
      <c r="I83">
        <v>2630</v>
      </c>
      <c r="J83">
        <v>473578</v>
      </c>
      <c r="K83">
        <v>367924</v>
      </c>
      <c r="L83">
        <v>6091320</v>
      </c>
      <c r="M83">
        <v>4.1900000000000004</v>
      </c>
      <c r="N83" t="s">
        <v>17</v>
      </c>
      <c r="O83" s="5">
        <f>PortfolioData[[#This Row],[Occupied_Units]]*PortfolioData[[#This Row],[Avg_Rent_per_Unit]]*12</f>
        <v>820560</v>
      </c>
      <c r="P83" s="3">
        <f>1-(PortfolioData[[#This Row],[Occupied_Units]]/PortfolioData[[#This Row],[Units]])</f>
        <v>0.25714285714285712</v>
      </c>
      <c r="Q83" s="5">
        <f>PortfolioData[[#This Row],[Gross_Rental_Income]] - PortfolioData[[#This Row],[Operating_Cost]] - PortfolioData[[#This Row],[Maintenance_Cost]]</f>
        <v>-20942</v>
      </c>
      <c r="R83" s="5">
        <f>PortfolioData[[#This Row],[Adjusted_Debt_Outstanding]]*(PortfolioData[[#This Row],[Interest_Rate]]/100)</f>
        <v>255226.30800000005</v>
      </c>
      <c r="S83" s="5">
        <f>MIN(PortfolioData[[#This Row],[Debt_Outstanding]], PortfolioData[[#This Row],[Current_Value]]*0.8)</f>
        <v>6091320</v>
      </c>
      <c r="T83" s="5">
        <f>PortfolioData[[#This Row],[Net Operating Income (NOI)]]/PortfolioData[[#This Row],[Annual_Debt_Service]]</f>
        <v>-8.2052669899530875E-2</v>
      </c>
      <c r="U83" s="5">
        <f>PortfolioData[[#This Row],[Net Operating Income (NOI)]]-PortfolioData[[#This Row],[Annual_Debt_Service]]</f>
        <v>-276168.30800000008</v>
      </c>
      <c r="V83" s="5">
        <f>PortfolioData[[#This Row],[Net Operating Income (NOI)]]</f>
        <v>-20942</v>
      </c>
      <c r="W83" s="3">
        <f>PortfolioData[[#This Row],[Gross_Rental_Income]] / PortfolioData[[#This Row],[Purchase_Price]]</f>
        <v>4.9740278350612954E-2</v>
      </c>
      <c r="X83" s="3">
        <f>PortfolioData[[#This Row],[Net Operating Income (NOI)]]/PortfolioData[[#This Row],[Current_Value]]</f>
        <v>-9.3422345446968983E-4</v>
      </c>
      <c r="Y83" s="3">
        <f>(PortfolioData[[#This Row],[Current_Value]]-PortfolioData[[#This Row],[Purchase_Price]]+PortfolioData[[#This Row],[Net Operating Income (NOI)]]) / PortfolioData[[#This Row],[Purchase_Price]]</f>
        <v>0.35756095875514005</v>
      </c>
      <c r="Z83" s="5">
        <f>_xlfn.PERCENTRANK.INC(PortfolioData[ROI],PortfolioData[[#This Row],[ROI]])</f>
        <v>0.80500000000000005</v>
      </c>
      <c r="AA83" s="3" t="str">
        <f>IF(PortfolioData[[#This Row],[ROI_Percentile]]&lt;=0.1,"Underperforming","Healthy")</f>
        <v>Healthy</v>
      </c>
      <c r="AB83" s="3">
        <f>PortfolioData[[#This Row],[Debt_Outstanding]]/PortfolioData[[#This Row],[Current_Value]]</f>
        <v>0.27173402791902929</v>
      </c>
      <c r="AC83">
        <f>PortfolioData[[#This Row],[Units]]*PortfolioData[[#This Row],[Avg_Rent_per_Unit]]*12</f>
        <v>1104600</v>
      </c>
      <c r="AD83" s="13">
        <f>PortfolioData[[#This Row],[Potential_Revenue]]-PortfolioData[[#This Row],[Gross_Rental_Income]]</f>
        <v>284040</v>
      </c>
      <c r="AE83" s="3">
        <f>IFERROR(PortfolioData[[#This Row],[Vacancy_Loss]]/PortfolioData[[#This Row],[Potential_Revenue]],0)</f>
        <v>0.25714285714285712</v>
      </c>
      <c r="AF83" s="17">
        <f xml:space="preserve"> (PortfolioData[[#This Row],[Vacancy_%]] * 0.4) + (PortfolioData[[#This Row],[Debt_Ratio]] * 0.3) + (PortfolioData[[#This Row],[Interest_Rate]]/100 * 0.3)</f>
        <v>0.19694735123285165</v>
      </c>
    </row>
    <row r="84" spans="1:32" x14ac:dyDescent="0.3">
      <c r="A84" t="s">
        <v>74</v>
      </c>
      <c r="B84" t="s">
        <v>19</v>
      </c>
      <c r="C84" t="s">
        <v>16</v>
      </c>
      <c r="D84">
        <v>2019</v>
      </c>
      <c r="E84">
        <v>19132505</v>
      </c>
      <c r="F84">
        <v>21923650.309999999</v>
      </c>
      <c r="G84">
        <v>34</v>
      </c>
      <c r="H84">
        <v>33</v>
      </c>
      <c r="I84">
        <v>5978</v>
      </c>
      <c r="J84">
        <v>228411</v>
      </c>
      <c r="K84">
        <v>441719</v>
      </c>
      <c r="L84">
        <v>11865412</v>
      </c>
      <c r="M84">
        <v>7.15</v>
      </c>
      <c r="N84" t="s">
        <v>24</v>
      </c>
      <c r="O84" s="5">
        <f>PortfolioData[[#This Row],[Occupied_Units]]*PortfolioData[[#This Row],[Avg_Rent_per_Unit]]*12</f>
        <v>2367288</v>
      </c>
      <c r="P84" s="3">
        <f>1-(PortfolioData[[#This Row],[Occupied_Units]]/PortfolioData[[#This Row],[Units]])</f>
        <v>2.9411764705882359E-2</v>
      </c>
      <c r="Q84" s="5">
        <f>PortfolioData[[#This Row],[Gross_Rental_Income]] - PortfolioData[[#This Row],[Operating_Cost]] - PortfolioData[[#This Row],[Maintenance_Cost]]</f>
        <v>1697158</v>
      </c>
      <c r="R84" s="5">
        <f>PortfolioData[[#This Row],[Adjusted_Debt_Outstanding]]*(PortfolioData[[#This Row],[Interest_Rate]]/100)</f>
        <v>848376.9580000001</v>
      </c>
      <c r="S84" s="5">
        <f>MIN(PortfolioData[[#This Row],[Debt_Outstanding]], PortfolioData[[#This Row],[Current_Value]]*0.8)</f>
        <v>11865412</v>
      </c>
      <c r="T84" s="5">
        <f>PortfolioData[[#This Row],[Net Operating Income (NOI)]]/PortfolioData[[#This Row],[Annual_Debt_Service]]</f>
        <v>2.0004763024221597</v>
      </c>
      <c r="U84" s="5">
        <f>PortfolioData[[#This Row],[Net Operating Income (NOI)]]-PortfolioData[[#This Row],[Annual_Debt_Service]]</f>
        <v>848781.0419999999</v>
      </c>
      <c r="V84" s="5">
        <f>PortfolioData[[#This Row],[Net Operating Income (NOI)]]</f>
        <v>1697158</v>
      </c>
      <c r="W84" s="3">
        <f>PortfolioData[[#This Row],[Gross_Rental_Income]] / PortfolioData[[#This Row],[Purchase_Price]]</f>
        <v>0.12373121031459289</v>
      </c>
      <c r="X84" s="3">
        <f>PortfolioData[[#This Row],[Net Operating Income (NOI)]]/PortfolioData[[#This Row],[Current_Value]]</f>
        <v>7.7412199884700689E-2</v>
      </c>
      <c r="Y84" s="3">
        <f>(PortfolioData[[#This Row],[Current_Value]]-PortfolioData[[#This Row],[Purchase_Price]]+PortfolioData[[#This Row],[Net Operating Income (NOI)]]) / PortfolioData[[#This Row],[Purchase_Price]]</f>
        <v>0.23459046842010486</v>
      </c>
      <c r="Z84" s="5">
        <f>_xlfn.PERCENTRANK.INC(PortfolioData[ROI],PortfolioData[[#This Row],[ROI]])</f>
        <v>0.52300000000000002</v>
      </c>
      <c r="AA84" s="3" t="str">
        <f>IF(PortfolioData[[#This Row],[ROI_Percentile]]&lt;=0.1,"Underperforming","Healthy")</f>
        <v>Healthy</v>
      </c>
      <c r="AB84" s="3">
        <f>PortfolioData[[#This Row],[Debt_Outstanding]]/PortfolioData[[#This Row],[Current_Value]]</f>
        <v>0.54121516409098391</v>
      </c>
      <c r="AC84">
        <f>PortfolioData[[#This Row],[Units]]*PortfolioData[[#This Row],[Avg_Rent_per_Unit]]*12</f>
        <v>2439024</v>
      </c>
      <c r="AD84" s="13">
        <f>PortfolioData[[#This Row],[Potential_Revenue]]-PortfolioData[[#This Row],[Gross_Rental_Income]]</f>
        <v>71736</v>
      </c>
      <c r="AE84" s="3">
        <f>IFERROR(PortfolioData[[#This Row],[Vacancy_Loss]]/PortfolioData[[#This Row],[Potential_Revenue]],0)</f>
        <v>2.9411764705882353E-2</v>
      </c>
      <c r="AF84" s="17">
        <f xml:space="preserve"> (PortfolioData[[#This Row],[Vacancy_%]] * 0.4) + (PortfolioData[[#This Row],[Debt_Ratio]] * 0.3) + (PortfolioData[[#This Row],[Interest_Rate]]/100 * 0.3)</f>
        <v>0.19557925510964813</v>
      </c>
    </row>
    <row r="85" spans="1:32" x14ac:dyDescent="0.3">
      <c r="A85" t="s">
        <v>31</v>
      </c>
      <c r="B85" t="s">
        <v>27</v>
      </c>
      <c r="C85" t="s">
        <v>16</v>
      </c>
      <c r="D85">
        <v>2019</v>
      </c>
      <c r="E85">
        <v>22426328</v>
      </c>
      <c r="F85">
        <v>21633881.989999998</v>
      </c>
      <c r="G85">
        <v>33</v>
      </c>
      <c r="H85">
        <v>26</v>
      </c>
      <c r="I85">
        <v>3107</v>
      </c>
      <c r="J85">
        <v>718743</v>
      </c>
      <c r="K85">
        <v>254324</v>
      </c>
      <c r="L85">
        <v>6504403</v>
      </c>
      <c r="M85">
        <v>6.1</v>
      </c>
      <c r="N85" t="s">
        <v>24</v>
      </c>
      <c r="O85" s="5">
        <f>PortfolioData[[#This Row],[Occupied_Units]]*PortfolioData[[#This Row],[Avg_Rent_per_Unit]]*12</f>
        <v>969384</v>
      </c>
      <c r="P85" s="3">
        <f>1-(PortfolioData[[#This Row],[Occupied_Units]]/PortfolioData[[#This Row],[Units]])</f>
        <v>0.21212121212121215</v>
      </c>
      <c r="Q85" s="5">
        <f>PortfolioData[[#This Row],[Gross_Rental_Income]] - PortfolioData[[#This Row],[Operating_Cost]] - PortfolioData[[#This Row],[Maintenance_Cost]]</f>
        <v>-3683</v>
      </c>
      <c r="R85" s="5">
        <f>PortfolioData[[#This Row],[Adjusted_Debt_Outstanding]]*(PortfolioData[[#This Row],[Interest_Rate]]/100)</f>
        <v>396768.58299999998</v>
      </c>
      <c r="S85" s="5">
        <f>MIN(PortfolioData[[#This Row],[Debt_Outstanding]], PortfolioData[[#This Row],[Current_Value]]*0.8)</f>
        <v>6504403</v>
      </c>
      <c r="T85" s="5">
        <f>PortfolioData[[#This Row],[Net Operating Income (NOI)]]/PortfolioData[[#This Row],[Annual_Debt_Service]]</f>
        <v>-9.2824889817448072E-3</v>
      </c>
      <c r="U85" s="5">
        <f>PortfolioData[[#This Row],[Net Operating Income (NOI)]]-PortfolioData[[#This Row],[Annual_Debt_Service]]</f>
        <v>-400451.58299999998</v>
      </c>
      <c r="V85" s="5">
        <f>PortfolioData[[#This Row],[Net Operating Income (NOI)]]</f>
        <v>-3683</v>
      </c>
      <c r="W85" s="3">
        <f>PortfolioData[[#This Row],[Gross_Rental_Income]] / PortfolioData[[#This Row],[Purchase_Price]]</f>
        <v>4.3225266303070213E-2</v>
      </c>
      <c r="X85" s="3">
        <f>PortfolioData[[#This Row],[Net Operating Income (NOI)]]/PortfolioData[[#This Row],[Current_Value]]</f>
        <v>-1.7024221550725026E-4</v>
      </c>
      <c r="Y85" s="3">
        <f>(PortfolioData[[#This Row],[Current_Value]]-PortfolioData[[#This Row],[Purchase_Price]]+PortfolioData[[#This Row],[Net Operating Income (NOI)]]) / PortfolioData[[#This Row],[Purchase_Price]]</f>
        <v>-3.5499748777419182E-2</v>
      </c>
      <c r="Z85" s="5">
        <f>_xlfn.PERCENTRANK.INC(PortfolioData[ROI],PortfolioData[[#This Row],[ROI]])</f>
        <v>0.107</v>
      </c>
      <c r="AA85" s="3" t="str">
        <f>IF(PortfolioData[[#This Row],[ROI_Percentile]]&lt;=0.1,"Underperforming","Healthy")</f>
        <v>Healthy</v>
      </c>
      <c r="AB85" s="3">
        <f>PortfolioData[[#This Row],[Debt_Outstanding]]/PortfolioData[[#This Row],[Current_Value]]</f>
        <v>0.30065815293836684</v>
      </c>
      <c r="AC85">
        <f>PortfolioData[[#This Row],[Units]]*PortfolioData[[#This Row],[Avg_Rent_per_Unit]]*12</f>
        <v>1230372</v>
      </c>
      <c r="AD85" s="13">
        <f>PortfolioData[[#This Row],[Potential_Revenue]]-PortfolioData[[#This Row],[Gross_Rental_Income]]</f>
        <v>260988</v>
      </c>
      <c r="AE85" s="3">
        <f>IFERROR(PortfolioData[[#This Row],[Vacancy_Loss]]/PortfolioData[[#This Row],[Potential_Revenue]],0)</f>
        <v>0.21212121212121213</v>
      </c>
      <c r="AF85" s="17">
        <f xml:space="preserve"> (PortfolioData[[#This Row],[Vacancy_%]] * 0.4) + (PortfolioData[[#This Row],[Debt_Ratio]] * 0.3) + (PortfolioData[[#This Row],[Interest_Rate]]/100 * 0.3)</f>
        <v>0.19334593072999492</v>
      </c>
    </row>
    <row r="86" spans="1:32" x14ac:dyDescent="0.3">
      <c r="A86" t="s">
        <v>120</v>
      </c>
      <c r="B86" t="s">
        <v>35</v>
      </c>
      <c r="C86" t="s">
        <v>16</v>
      </c>
      <c r="D86">
        <v>2019</v>
      </c>
      <c r="E86">
        <v>18712591</v>
      </c>
      <c r="F86">
        <v>19766821.559999999</v>
      </c>
      <c r="G86">
        <v>21</v>
      </c>
      <c r="H86">
        <v>15</v>
      </c>
      <c r="I86">
        <v>4871</v>
      </c>
      <c r="J86">
        <v>785975</v>
      </c>
      <c r="K86">
        <v>142200</v>
      </c>
      <c r="L86">
        <v>3938400</v>
      </c>
      <c r="M86">
        <v>5.48</v>
      </c>
      <c r="N86" t="s">
        <v>24</v>
      </c>
      <c r="O86" s="5">
        <f>PortfolioData[[#This Row],[Occupied_Units]]*PortfolioData[[#This Row],[Avg_Rent_per_Unit]]*12</f>
        <v>876780</v>
      </c>
      <c r="P86" s="3">
        <f>1-(PortfolioData[[#This Row],[Occupied_Units]]/PortfolioData[[#This Row],[Units]])</f>
        <v>0.2857142857142857</v>
      </c>
      <c r="Q86" s="5">
        <f>PortfolioData[[#This Row],[Gross_Rental_Income]] - PortfolioData[[#This Row],[Operating_Cost]] - PortfolioData[[#This Row],[Maintenance_Cost]]</f>
        <v>-51395</v>
      </c>
      <c r="R86" s="5">
        <f>PortfolioData[[#This Row],[Adjusted_Debt_Outstanding]]*(PortfolioData[[#This Row],[Interest_Rate]]/100)</f>
        <v>215824.32</v>
      </c>
      <c r="S86" s="5">
        <f>MIN(PortfolioData[[#This Row],[Debt_Outstanding]], PortfolioData[[#This Row],[Current_Value]]*0.8)</f>
        <v>3938400</v>
      </c>
      <c r="T86" s="5">
        <f>PortfolioData[[#This Row],[Net Operating Income (NOI)]]/PortfolioData[[#This Row],[Annual_Debt_Service]]</f>
        <v>-0.23813349672548487</v>
      </c>
      <c r="U86" s="5">
        <f>PortfolioData[[#This Row],[Net Operating Income (NOI)]]-PortfolioData[[#This Row],[Annual_Debt_Service]]</f>
        <v>-267219.32</v>
      </c>
      <c r="V86" s="5">
        <f>PortfolioData[[#This Row],[Net Operating Income (NOI)]]</f>
        <v>-51395</v>
      </c>
      <c r="W86" s="3">
        <f>PortfolioData[[#This Row],[Gross_Rental_Income]] / PortfolioData[[#This Row],[Purchase_Price]]</f>
        <v>4.6855082762189373E-2</v>
      </c>
      <c r="X86" s="3">
        <f>PortfolioData[[#This Row],[Net Operating Income (NOI)]]/PortfolioData[[#This Row],[Current_Value]]</f>
        <v>-2.600063942702987E-3</v>
      </c>
      <c r="Y86" s="3">
        <f>(PortfolioData[[#This Row],[Current_Value]]-PortfolioData[[#This Row],[Purchase_Price]]+PortfolioData[[#This Row],[Net Operating Income (NOI)]]) / PortfolioData[[#This Row],[Purchase_Price]]</f>
        <v>5.3591486074803789E-2</v>
      </c>
      <c r="Z86" s="5">
        <f>_xlfn.PERCENTRANK.INC(PortfolioData[ROI],PortfolioData[[#This Row],[ROI]])</f>
        <v>0.221</v>
      </c>
      <c r="AA86" s="3" t="str">
        <f>IF(PortfolioData[[#This Row],[ROI_Percentile]]&lt;=0.1,"Underperforming","Healthy")</f>
        <v>Healthy</v>
      </c>
      <c r="AB86" s="3">
        <f>PortfolioData[[#This Row],[Debt_Outstanding]]/PortfolioData[[#This Row],[Current_Value]]</f>
        <v>0.1992429581076261</v>
      </c>
      <c r="AC86">
        <f>PortfolioData[[#This Row],[Units]]*PortfolioData[[#This Row],[Avg_Rent_per_Unit]]*12</f>
        <v>1227492</v>
      </c>
      <c r="AD86" s="13">
        <f>PortfolioData[[#This Row],[Potential_Revenue]]-PortfolioData[[#This Row],[Gross_Rental_Income]]</f>
        <v>350712</v>
      </c>
      <c r="AE86" s="3">
        <f>IFERROR(PortfolioData[[#This Row],[Vacancy_Loss]]/PortfolioData[[#This Row],[Potential_Revenue]],0)</f>
        <v>0.2857142857142857</v>
      </c>
      <c r="AF86" s="17">
        <f xml:space="preserve"> (PortfolioData[[#This Row],[Vacancy_%]] * 0.4) + (PortfolioData[[#This Row],[Debt_Ratio]] * 0.3) + (PortfolioData[[#This Row],[Interest_Rate]]/100 * 0.3)</f>
        <v>0.19049860171800212</v>
      </c>
    </row>
    <row r="87" spans="1:32" x14ac:dyDescent="0.3">
      <c r="A87" t="s">
        <v>79</v>
      </c>
      <c r="B87" t="s">
        <v>19</v>
      </c>
      <c r="C87" t="s">
        <v>30</v>
      </c>
      <c r="D87">
        <v>2019</v>
      </c>
      <c r="E87">
        <v>11321485</v>
      </c>
      <c r="F87">
        <v>12549916.890000001</v>
      </c>
      <c r="G87">
        <v>63</v>
      </c>
      <c r="H87">
        <v>53</v>
      </c>
      <c r="I87">
        <v>3808</v>
      </c>
      <c r="J87">
        <v>814489</v>
      </c>
      <c r="K87">
        <v>309017</v>
      </c>
      <c r="L87">
        <v>4638014</v>
      </c>
      <c r="M87">
        <v>5.27</v>
      </c>
      <c r="N87" t="s">
        <v>17</v>
      </c>
      <c r="O87" s="5">
        <f>PortfolioData[[#This Row],[Occupied_Units]]*PortfolioData[[#This Row],[Avg_Rent_per_Unit]]*12</f>
        <v>2421888</v>
      </c>
      <c r="P87" s="3">
        <f>1-(PortfolioData[[#This Row],[Occupied_Units]]/PortfolioData[[#This Row],[Units]])</f>
        <v>0.15873015873015872</v>
      </c>
      <c r="Q87" s="5">
        <f>PortfolioData[[#This Row],[Gross_Rental_Income]] - PortfolioData[[#This Row],[Operating_Cost]] - PortfolioData[[#This Row],[Maintenance_Cost]]</f>
        <v>1298382</v>
      </c>
      <c r="R87" s="5">
        <f>PortfolioData[[#This Row],[Adjusted_Debt_Outstanding]]*(PortfolioData[[#This Row],[Interest_Rate]]/100)</f>
        <v>244423.33779999998</v>
      </c>
      <c r="S87" s="5">
        <f>MIN(PortfolioData[[#This Row],[Debt_Outstanding]], PortfolioData[[#This Row],[Current_Value]]*0.8)</f>
        <v>4638014</v>
      </c>
      <c r="T87" s="5">
        <f>PortfolioData[[#This Row],[Net Operating Income (NOI)]]/PortfolioData[[#This Row],[Annual_Debt_Service]]</f>
        <v>5.312021395691783</v>
      </c>
      <c r="U87" s="5">
        <f>PortfolioData[[#This Row],[Net Operating Income (NOI)]]-PortfolioData[[#This Row],[Annual_Debt_Service]]</f>
        <v>1053958.6622000001</v>
      </c>
      <c r="V87" s="5">
        <f>PortfolioData[[#This Row],[Net Operating Income (NOI)]]</f>
        <v>1298382</v>
      </c>
      <c r="W87" s="3">
        <f>PortfolioData[[#This Row],[Gross_Rental_Income]] / PortfolioData[[#This Row],[Purchase_Price]]</f>
        <v>0.21391964040053049</v>
      </c>
      <c r="X87" s="3">
        <f>PortfolioData[[#This Row],[Net Operating Income (NOI)]]/PortfolioData[[#This Row],[Current_Value]]</f>
        <v>0.10345741819490248</v>
      </c>
      <c r="Y87" s="3">
        <f>(PortfolioData[[#This Row],[Current_Value]]-PortfolioData[[#This Row],[Purchase_Price]]+PortfolioData[[#This Row],[Net Operating Income (NOI)]]) / PortfolioData[[#This Row],[Purchase_Price]]</f>
        <v>0.22318749616326838</v>
      </c>
      <c r="Z87" s="5">
        <f>_xlfn.PERCENTRANK.INC(PortfolioData[ROI],PortfolioData[[#This Row],[ROI]])</f>
        <v>0.48899999999999999</v>
      </c>
      <c r="AA87" s="3" t="str">
        <f>IF(PortfolioData[[#This Row],[ROI_Percentile]]&lt;=0.1,"Underperforming","Healthy")</f>
        <v>Healthy</v>
      </c>
      <c r="AB87" s="3">
        <f>PortfolioData[[#This Row],[Debt_Outstanding]]/PortfolioData[[#This Row],[Current_Value]]</f>
        <v>0.36956531590226332</v>
      </c>
      <c r="AC87">
        <f>PortfolioData[[#This Row],[Units]]*PortfolioData[[#This Row],[Avg_Rent_per_Unit]]*12</f>
        <v>2878848</v>
      </c>
      <c r="AD87" s="13">
        <f>PortfolioData[[#This Row],[Potential_Revenue]]-PortfolioData[[#This Row],[Gross_Rental_Income]]</f>
        <v>456960</v>
      </c>
      <c r="AE87" s="3">
        <f>IFERROR(PortfolioData[[#This Row],[Vacancy_Loss]]/PortfolioData[[#This Row],[Potential_Revenue]],0)</f>
        <v>0.15873015873015872</v>
      </c>
      <c r="AF87" s="17">
        <f xml:space="preserve"> (PortfolioData[[#This Row],[Vacancy_%]] * 0.4) + (PortfolioData[[#This Row],[Debt_Ratio]] * 0.3) + (PortfolioData[[#This Row],[Interest_Rate]]/100 * 0.3)</f>
        <v>0.19017165826274246</v>
      </c>
    </row>
    <row r="88" spans="1:32" x14ac:dyDescent="0.3">
      <c r="A88" t="s">
        <v>86</v>
      </c>
      <c r="B88" t="s">
        <v>15</v>
      </c>
      <c r="C88" t="s">
        <v>23</v>
      </c>
      <c r="D88">
        <v>2020</v>
      </c>
      <c r="E88">
        <v>16220104</v>
      </c>
      <c r="F88">
        <v>16182871.01</v>
      </c>
      <c r="G88">
        <v>16</v>
      </c>
      <c r="H88">
        <v>14</v>
      </c>
      <c r="I88">
        <v>3062</v>
      </c>
      <c r="J88">
        <v>625503</v>
      </c>
      <c r="K88">
        <v>419044</v>
      </c>
      <c r="L88">
        <v>6387171</v>
      </c>
      <c r="M88">
        <v>6.81</v>
      </c>
      <c r="N88" t="s">
        <v>17</v>
      </c>
      <c r="O88" s="5">
        <f>PortfolioData[[#This Row],[Occupied_Units]]*PortfolioData[[#This Row],[Avg_Rent_per_Unit]]*12</f>
        <v>514416</v>
      </c>
      <c r="P88" s="3">
        <f>1-(PortfolioData[[#This Row],[Occupied_Units]]/PortfolioData[[#This Row],[Units]])</f>
        <v>0.125</v>
      </c>
      <c r="Q88" s="5">
        <f>PortfolioData[[#This Row],[Gross_Rental_Income]] - PortfolioData[[#This Row],[Operating_Cost]] - PortfolioData[[#This Row],[Maintenance_Cost]]</f>
        <v>-530131</v>
      </c>
      <c r="R88" s="5">
        <f>PortfolioData[[#This Row],[Adjusted_Debt_Outstanding]]*(PortfolioData[[#This Row],[Interest_Rate]]/100)</f>
        <v>434966.34509999998</v>
      </c>
      <c r="S88" s="5">
        <f>MIN(PortfolioData[[#This Row],[Debt_Outstanding]], PortfolioData[[#This Row],[Current_Value]]*0.8)</f>
        <v>6387171</v>
      </c>
      <c r="T88" s="5">
        <f>PortfolioData[[#This Row],[Net Operating Income (NOI)]]/PortfolioData[[#This Row],[Annual_Debt_Service]]</f>
        <v>-1.2187862485731429</v>
      </c>
      <c r="U88" s="5">
        <f>PortfolioData[[#This Row],[Net Operating Income (NOI)]]-PortfolioData[[#This Row],[Annual_Debt_Service]]</f>
        <v>-965097.34510000004</v>
      </c>
      <c r="V88" s="5">
        <f>PortfolioData[[#This Row],[Net Operating Income (NOI)]]</f>
        <v>-530131</v>
      </c>
      <c r="W88" s="3">
        <f>PortfolioData[[#This Row],[Gross_Rental_Income]] / PortfolioData[[#This Row],[Purchase_Price]]</f>
        <v>3.1714716502434265E-2</v>
      </c>
      <c r="X88" s="3">
        <f>PortfolioData[[#This Row],[Net Operating Income (NOI)]]/PortfolioData[[#This Row],[Current_Value]]</f>
        <v>-3.275877312946586E-2</v>
      </c>
      <c r="Y88" s="3">
        <f>(PortfolioData[[#This Row],[Current_Value]]-PortfolioData[[#This Row],[Purchase_Price]]+PortfolioData[[#This Row],[Net Operating Income (NOI)]]) / PortfolioData[[#This Row],[Purchase_Price]]</f>
        <v>-3.4979059936976989E-2</v>
      </c>
      <c r="Z88" s="5">
        <f>_xlfn.PERCENTRANK.INC(PortfolioData[ROI],PortfolioData[[#This Row],[ROI]])</f>
        <v>0.114</v>
      </c>
      <c r="AA88" s="3" t="str">
        <f>IF(PortfolioData[[#This Row],[ROI_Percentile]]&lt;=0.1,"Underperforming","Healthy")</f>
        <v>Healthy</v>
      </c>
      <c r="AB88" s="3">
        <f>PortfolioData[[#This Row],[Debt_Outstanding]]/PortfolioData[[#This Row],[Current_Value]]</f>
        <v>0.39468713530826072</v>
      </c>
      <c r="AC88">
        <f>PortfolioData[[#This Row],[Units]]*PortfolioData[[#This Row],[Avg_Rent_per_Unit]]*12</f>
        <v>587904</v>
      </c>
      <c r="AD88" s="13">
        <f>PortfolioData[[#This Row],[Potential_Revenue]]-PortfolioData[[#This Row],[Gross_Rental_Income]]</f>
        <v>73488</v>
      </c>
      <c r="AE88" s="3">
        <f>IFERROR(PortfolioData[[#This Row],[Vacancy_Loss]]/PortfolioData[[#This Row],[Potential_Revenue]],0)</f>
        <v>0.125</v>
      </c>
      <c r="AF88" s="17">
        <f xml:space="preserve"> (PortfolioData[[#This Row],[Vacancy_%]] * 0.4) + (PortfolioData[[#This Row],[Debt_Ratio]] * 0.3) + (PortfolioData[[#This Row],[Interest_Rate]]/100 * 0.3)</f>
        <v>0.18883614059247822</v>
      </c>
    </row>
    <row r="89" spans="1:32" x14ac:dyDescent="0.3">
      <c r="A89" t="s">
        <v>65</v>
      </c>
      <c r="B89" t="s">
        <v>35</v>
      </c>
      <c r="C89" t="s">
        <v>20</v>
      </c>
      <c r="D89">
        <v>2016</v>
      </c>
      <c r="E89">
        <v>9065241</v>
      </c>
      <c r="F89">
        <v>12275543.91</v>
      </c>
      <c r="G89">
        <v>54</v>
      </c>
      <c r="H89">
        <v>52</v>
      </c>
      <c r="I89">
        <v>2895</v>
      </c>
      <c r="J89">
        <v>813112</v>
      </c>
      <c r="K89">
        <v>368410</v>
      </c>
      <c r="L89">
        <v>6219587</v>
      </c>
      <c r="M89">
        <v>6.87</v>
      </c>
      <c r="N89" t="s">
        <v>17</v>
      </c>
      <c r="O89" s="5">
        <f>PortfolioData[[#This Row],[Occupied_Units]]*PortfolioData[[#This Row],[Avg_Rent_per_Unit]]*12</f>
        <v>1806480</v>
      </c>
      <c r="P89" s="3">
        <f>1-(PortfolioData[[#This Row],[Occupied_Units]]/PortfolioData[[#This Row],[Units]])</f>
        <v>3.703703703703709E-2</v>
      </c>
      <c r="Q89" s="5">
        <f>PortfolioData[[#This Row],[Gross_Rental_Income]] - PortfolioData[[#This Row],[Operating_Cost]] - PortfolioData[[#This Row],[Maintenance_Cost]]</f>
        <v>624958</v>
      </c>
      <c r="R89" s="5">
        <f>PortfolioData[[#This Row],[Adjusted_Debt_Outstanding]]*(PortfolioData[[#This Row],[Interest_Rate]]/100)</f>
        <v>427285.62689999997</v>
      </c>
      <c r="S89" s="5">
        <f>MIN(PortfolioData[[#This Row],[Debt_Outstanding]], PortfolioData[[#This Row],[Current_Value]]*0.8)</f>
        <v>6219587</v>
      </c>
      <c r="T89" s="5">
        <f>PortfolioData[[#This Row],[Net Operating Income (NOI)]]/PortfolioData[[#This Row],[Annual_Debt_Service]]</f>
        <v>1.4626235020684708</v>
      </c>
      <c r="U89" s="5">
        <f>PortfolioData[[#This Row],[Net Operating Income (NOI)]]-PortfolioData[[#This Row],[Annual_Debt_Service]]</f>
        <v>197672.37310000003</v>
      </c>
      <c r="V89" s="5">
        <f>PortfolioData[[#This Row],[Net Operating Income (NOI)]]</f>
        <v>624958</v>
      </c>
      <c r="W89" s="3">
        <f>PortfolioData[[#This Row],[Gross_Rental_Income]] / PortfolioData[[#This Row],[Purchase_Price]]</f>
        <v>0.19927545224666393</v>
      </c>
      <c r="X89" s="3">
        <f>PortfolioData[[#This Row],[Net Operating Income (NOI)]]/PortfolioData[[#This Row],[Current_Value]]</f>
        <v>5.091081947830367E-2</v>
      </c>
      <c r="Y89" s="3">
        <f>(PortfolioData[[#This Row],[Current_Value]]-PortfolioData[[#This Row],[Purchase_Price]]+PortfolioData[[#This Row],[Net Operating Income (NOI)]]) / PortfolioData[[#This Row],[Purchase_Price]]</f>
        <v>0.42307324317136191</v>
      </c>
      <c r="Z89" s="5">
        <f>_xlfn.PERCENTRANK.INC(PortfolioData[ROI],PortfolioData[[#This Row],[ROI]])</f>
        <v>0.89200000000000002</v>
      </c>
      <c r="AA89" s="3" t="str">
        <f>IF(PortfolioData[[#This Row],[ROI_Percentile]]&lt;=0.1,"Underperforming","Healthy")</f>
        <v>Healthy</v>
      </c>
      <c r="AB89" s="3">
        <f>PortfolioData[[#This Row],[Debt_Outstanding]]/PortfolioData[[#This Row],[Current_Value]]</f>
        <v>0.50666488145860089</v>
      </c>
      <c r="AC89">
        <f>PortfolioData[[#This Row],[Units]]*PortfolioData[[#This Row],[Avg_Rent_per_Unit]]*12</f>
        <v>1875960</v>
      </c>
      <c r="AD89" s="13">
        <f>PortfolioData[[#This Row],[Potential_Revenue]]-PortfolioData[[#This Row],[Gross_Rental_Income]]</f>
        <v>69480</v>
      </c>
      <c r="AE89" s="3">
        <f>IFERROR(PortfolioData[[#This Row],[Vacancy_Loss]]/PortfolioData[[#This Row],[Potential_Revenue]],0)</f>
        <v>3.7037037037037035E-2</v>
      </c>
      <c r="AF89" s="17">
        <f xml:space="preserve"> (PortfolioData[[#This Row],[Vacancy_%]] * 0.4) + (PortfolioData[[#This Row],[Debt_Ratio]] * 0.3) + (PortfolioData[[#This Row],[Interest_Rate]]/100 * 0.3)</f>
        <v>0.18742427925239508</v>
      </c>
    </row>
    <row r="90" spans="1:32" x14ac:dyDescent="0.3">
      <c r="A90" t="s">
        <v>48</v>
      </c>
      <c r="B90" t="s">
        <v>27</v>
      </c>
      <c r="C90" t="s">
        <v>16</v>
      </c>
      <c r="D90">
        <v>2022</v>
      </c>
      <c r="E90">
        <v>11165603</v>
      </c>
      <c r="F90">
        <v>10290992.050000001</v>
      </c>
      <c r="G90">
        <v>69</v>
      </c>
      <c r="H90">
        <v>56</v>
      </c>
      <c r="I90">
        <v>4408</v>
      </c>
      <c r="J90">
        <v>378562</v>
      </c>
      <c r="K90">
        <v>140451</v>
      </c>
      <c r="L90">
        <v>3441814</v>
      </c>
      <c r="M90">
        <v>3.74</v>
      </c>
      <c r="N90" t="s">
        <v>24</v>
      </c>
      <c r="O90" s="5">
        <f>PortfolioData[[#This Row],[Occupied_Units]]*PortfolioData[[#This Row],[Avg_Rent_per_Unit]]*12</f>
        <v>2962176</v>
      </c>
      <c r="P90" s="3">
        <f>1-(PortfolioData[[#This Row],[Occupied_Units]]/PortfolioData[[#This Row],[Units]])</f>
        <v>0.18840579710144922</v>
      </c>
      <c r="Q90" s="5">
        <f>PortfolioData[[#This Row],[Gross_Rental_Income]] - PortfolioData[[#This Row],[Operating_Cost]] - PortfolioData[[#This Row],[Maintenance_Cost]]</f>
        <v>2443163</v>
      </c>
      <c r="R90" s="5">
        <f>PortfolioData[[#This Row],[Adjusted_Debt_Outstanding]]*(PortfolioData[[#This Row],[Interest_Rate]]/100)</f>
        <v>128723.84360000001</v>
      </c>
      <c r="S90" s="5">
        <f>MIN(PortfolioData[[#This Row],[Debt_Outstanding]], PortfolioData[[#This Row],[Current_Value]]*0.8)</f>
        <v>3441814</v>
      </c>
      <c r="T90" s="5">
        <f>PortfolioData[[#This Row],[Net Operating Income (NOI)]]/PortfolioData[[#This Row],[Annual_Debt_Service]]</f>
        <v>18.97987918688904</v>
      </c>
      <c r="U90" s="5">
        <f>PortfolioData[[#This Row],[Net Operating Income (NOI)]]-PortfolioData[[#This Row],[Annual_Debt_Service]]</f>
        <v>2314439.1564000002</v>
      </c>
      <c r="V90" s="5">
        <f>PortfolioData[[#This Row],[Net Operating Income (NOI)]]</f>
        <v>2443163</v>
      </c>
      <c r="W90" s="3">
        <f>PortfolioData[[#This Row],[Gross_Rental_Income]] / PortfolioData[[#This Row],[Purchase_Price]]</f>
        <v>0.26529476285338105</v>
      </c>
      <c r="X90" s="3">
        <f>PortfolioData[[#This Row],[Net Operating Income (NOI)]]/PortfolioData[[#This Row],[Current_Value]]</f>
        <v>0.23740791831629099</v>
      </c>
      <c r="Y90" s="3">
        <f>(PortfolioData[[#This Row],[Current_Value]]-PortfolioData[[#This Row],[Purchase_Price]]+PortfolioData[[#This Row],[Net Operating Income (NOI)]]) / PortfolioData[[#This Row],[Purchase_Price]]</f>
        <v>0.14048072907482029</v>
      </c>
      <c r="Z90" s="5">
        <f>_xlfn.PERCENTRANK.INC(PortfolioData[ROI],PortfolioData[[#This Row],[ROI]])</f>
        <v>0.36899999999999999</v>
      </c>
      <c r="AA90" s="3" t="str">
        <f>IF(PortfolioData[[#This Row],[ROI_Percentile]]&lt;=0.1,"Underperforming","Healthy")</f>
        <v>Healthy</v>
      </c>
      <c r="AB90" s="3">
        <f>PortfolioData[[#This Row],[Debt_Outstanding]]/PortfolioData[[#This Row],[Current_Value]]</f>
        <v>0.3344491943320469</v>
      </c>
      <c r="AC90">
        <f>PortfolioData[[#This Row],[Units]]*PortfolioData[[#This Row],[Avg_Rent_per_Unit]]*12</f>
        <v>3649824</v>
      </c>
      <c r="AD90" s="13">
        <f>PortfolioData[[#This Row],[Potential_Revenue]]-PortfolioData[[#This Row],[Gross_Rental_Income]]</f>
        <v>687648</v>
      </c>
      <c r="AE90" s="3">
        <f>IFERROR(PortfolioData[[#This Row],[Vacancy_Loss]]/PortfolioData[[#This Row],[Potential_Revenue]],0)</f>
        <v>0.18840579710144928</v>
      </c>
      <c r="AF90" s="17">
        <f xml:space="preserve"> (PortfolioData[[#This Row],[Vacancy_%]] * 0.4) + (PortfolioData[[#This Row],[Debt_Ratio]] * 0.3) + (PortfolioData[[#This Row],[Interest_Rate]]/100 * 0.3)</f>
        <v>0.18691707714019379</v>
      </c>
    </row>
    <row r="91" spans="1:32" x14ac:dyDescent="0.3">
      <c r="A91" t="s">
        <v>128</v>
      </c>
      <c r="B91" t="s">
        <v>22</v>
      </c>
      <c r="C91" t="s">
        <v>16</v>
      </c>
      <c r="D91">
        <v>2022</v>
      </c>
      <c r="E91">
        <v>18541623</v>
      </c>
      <c r="F91">
        <v>22257362.5</v>
      </c>
      <c r="G91">
        <v>65</v>
      </c>
      <c r="H91">
        <v>50</v>
      </c>
      <c r="I91">
        <v>3987</v>
      </c>
      <c r="J91">
        <v>263156</v>
      </c>
      <c r="K91">
        <v>218351</v>
      </c>
      <c r="L91">
        <v>5775737</v>
      </c>
      <c r="M91">
        <v>5.49</v>
      </c>
      <c r="N91" t="s">
        <v>17</v>
      </c>
      <c r="O91" s="5">
        <f>PortfolioData[[#This Row],[Occupied_Units]]*PortfolioData[[#This Row],[Avg_Rent_per_Unit]]*12</f>
        <v>2392200</v>
      </c>
      <c r="P91" s="3">
        <f>1-(PortfolioData[[#This Row],[Occupied_Units]]/PortfolioData[[#This Row],[Units]])</f>
        <v>0.23076923076923073</v>
      </c>
      <c r="Q91" s="5">
        <f>PortfolioData[[#This Row],[Gross_Rental_Income]] - PortfolioData[[#This Row],[Operating_Cost]] - PortfolioData[[#This Row],[Maintenance_Cost]]</f>
        <v>1910693</v>
      </c>
      <c r="R91" s="5">
        <f>PortfolioData[[#This Row],[Adjusted_Debt_Outstanding]]*(PortfolioData[[#This Row],[Interest_Rate]]/100)</f>
        <v>317087.96130000002</v>
      </c>
      <c r="S91" s="5">
        <f>MIN(PortfolioData[[#This Row],[Debt_Outstanding]], PortfolioData[[#This Row],[Current_Value]]*0.8)</f>
        <v>5775737</v>
      </c>
      <c r="T91" s="5">
        <f>PortfolioData[[#This Row],[Net Operating Income (NOI)]]/PortfolioData[[#This Row],[Annual_Debt_Service]]</f>
        <v>6.0257506849724729</v>
      </c>
      <c r="U91" s="5">
        <f>PortfolioData[[#This Row],[Net Operating Income (NOI)]]-PortfolioData[[#This Row],[Annual_Debt_Service]]</f>
        <v>1593605.0386999999</v>
      </c>
      <c r="V91" s="5">
        <f>PortfolioData[[#This Row],[Net Operating Income (NOI)]]</f>
        <v>1910693</v>
      </c>
      <c r="W91" s="3">
        <f>PortfolioData[[#This Row],[Gross_Rental_Income]] / PortfolioData[[#This Row],[Purchase_Price]]</f>
        <v>0.12901783193413005</v>
      </c>
      <c r="X91" s="3">
        <f>PortfolioData[[#This Row],[Net Operating Income (NOI)]]/PortfolioData[[#This Row],[Current_Value]]</f>
        <v>8.5845436538134298E-2</v>
      </c>
      <c r="Y91" s="3">
        <f>(PortfolioData[[#This Row],[Current_Value]]-PortfolioData[[#This Row],[Purchase_Price]]+PortfolioData[[#This Row],[Net Operating Income (NOI)]]) / PortfolioData[[#This Row],[Purchase_Price]]</f>
        <v>0.30344875958269674</v>
      </c>
      <c r="Z91" s="5">
        <f>_xlfn.PERCENTRANK.INC(PortfolioData[ROI],PortfolioData[[#This Row],[ROI]])</f>
        <v>0.67700000000000005</v>
      </c>
      <c r="AA91" s="3" t="str">
        <f>IF(PortfolioData[[#This Row],[ROI_Percentile]]&lt;=0.1,"Underperforming","Healthy")</f>
        <v>Healthy</v>
      </c>
      <c r="AB91" s="3">
        <f>PortfolioData[[#This Row],[Debt_Outstanding]]/PortfolioData[[#This Row],[Current_Value]]</f>
        <v>0.25949781785690018</v>
      </c>
      <c r="AC91">
        <f>PortfolioData[[#This Row],[Units]]*PortfolioData[[#This Row],[Avg_Rent_per_Unit]]*12</f>
        <v>3109860</v>
      </c>
      <c r="AD91" s="13">
        <f>PortfolioData[[#This Row],[Potential_Revenue]]-PortfolioData[[#This Row],[Gross_Rental_Income]]</f>
        <v>717660</v>
      </c>
      <c r="AE91" s="3">
        <f>IFERROR(PortfolioData[[#This Row],[Vacancy_Loss]]/PortfolioData[[#This Row],[Potential_Revenue]],0)</f>
        <v>0.23076923076923078</v>
      </c>
      <c r="AF91" s="17">
        <f xml:space="preserve"> (PortfolioData[[#This Row],[Vacancy_%]] * 0.4) + (PortfolioData[[#This Row],[Debt_Ratio]] * 0.3) + (PortfolioData[[#This Row],[Interest_Rate]]/100 * 0.3)</f>
        <v>0.18662703766476238</v>
      </c>
    </row>
    <row r="92" spans="1:32" x14ac:dyDescent="0.3">
      <c r="A92" t="s">
        <v>25</v>
      </c>
      <c r="B92" t="s">
        <v>15</v>
      </c>
      <c r="C92" t="s">
        <v>20</v>
      </c>
      <c r="D92">
        <v>2021</v>
      </c>
      <c r="E92">
        <v>24339312</v>
      </c>
      <c r="F92">
        <v>26140953.170000002</v>
      </c>
      <c r="G92">
        <v>77</v>
      </c>
      <c r="H92">
        <v>70</v>
      </c>
      <c r="I92">
        <v>1858</v>
      </c>
      <c r="J92">
        <v>272524</v>
      </c>
      <c r="K92">
        <v>325739</v>
      </c>
      <c r="L92">
        <v>11553751</v>
      </c>
      <c r="M92">
        <v>5.75</v>
      </c>
      <c r="N92" t="s">
        <v>17</v>
      </c>
      <c r="O92" s="5">
        <f>PortfolioData[[#This Row],[Occupied_Units]]*PortfolioData[[#This Row],[Avg_Rent_per_Unit]]*12</f>
        <v>1560720</v>
      </c>
      <c r="P92" s="3">
        <f>1-(PortfolioData[[#This Row],[Occupied_Units]]/PortfolioData[[#This Row],[Units]])</f>
        <v>9.0909090909090939E-2</v>
      </c>
      <c r="Q92" s="5">
        <f>PortfolioData[[#This Row],[Gross_Rental_Income]] - PortfolioData[[#This Row],[Operating_Cost]] - PortfolioData[[#This Row],[Maintenance_Cost]]</f>
        <v>962457</v>
      </c>
      <c r="R92" s="5">
        <f>PortfolioData[[#This Row],[Adjusted_Debt_Outstanding]]*(PortfolioData[[#This Row],[Interest_Rate]]/100)</f>
        <v>664340.6825</v>
      </c>
      <c r="S92" s="5">
        <f>MIN(PortfolioData[[#This Row],[Debt_Outstanding]], PortfolioData[[#This Row],[Current_Value]]*0.8)</f>
        <v>11553751</v>
      </c>
      <c r="T92" s="5">
        <f>PortfolioData[[#This Row],[Net Operating Income (NOI)]]/PortfolioData[[#This Row],[Annual_Debt_Service]]</f>
        <v>1.4487401198706509</v>
      </c>
      <c r="U92" s="5">
        <f>PortfolioData[[#This Row],[Net Operating Income (NOI)]]-PortfolioData[[#This Row],[Annual_Debt_Service]]</f>
        <v>298116.3175</v>
      </c>
      <c r="V92" s="5">
        <f>PortfolioData[[#This Row],[Net Operating Income (NOI)]]</f>
        <v>962457</v>
      </c>
      <c r="W92" s="3">
        <f>PortfolioData[[#This Row],[Gross_Rental_Income]] / PortfolioData[[#This Row],[Purchase_Price]]</f>
        <v>6.4123423044989927E-2</v>
      </c>
      <c r="X92" s="3">
        <f>PortfolioData[[#This Row],[Net Operating Income (NOI)]]/PortfolioData[[#This Row],[Current_Value]]</f>
        <v>3.6817976519101805E-2</v>
      </c>
      <c r="Y92" s="3">
        <f>(PortfolioData[[#This Row],[Current_Value]]-PortfolioData[[#This Row],[Purchase_Price]]+PortfolioData[[#This Row],[Net Operating Income (NOI)]]) / PortfolioData[[#This Row],[Purchase_Price]]</f>
        <v>0.11356517267209533</v>
      </c>
      <c r="Z92" s="5">
        <f>_xlfn.PERCENTRANK.INC(PortfolioData[ROI],PortfolioData[[#This Row],[ROI]])</f>
        <v>0.34200000000000003</v>
      </c>
      <c r="AA92" s="3" t="str">
        <f>IF(PortfolioData[[#This Row],[ROI_Percentile]]&lt;=0.1,"Underperforming","Healthy")</f>
        <v>Healthy</v>
      </c>
      <c r="AB92" s="3">
        <f>PortfolioData[[#This Row],[Debt_Outstanding]]/PortfolioData[[#This Row],[Current_Value]]</f>
        <v>0.44197894869646021</v>
      </c>
      <c r="AC92">
        <f>PortfolioData[[#This Row],[Units]]*PortfolioData[[#This Row],[Avg_Rent_per_Unit]]*12</f>
        <v>1716792</v>
      </c>
      <c r="AD92" s="13">
        <f>PortfolioData[[#This Row],[Potential_Revenue]]-PortfolioData[[#This Row],[Gross_Rental_Income]]</f>
        <v>156072</v>
      </c>
      <c r="AE92" s="3">
        <f>IFERROR(PortfolioData[[#This Row],[Vacancy_Loss]]/PortfolioData[[#This Row],[Potential_Revenue]],0)</f>
        <v>9.0909090909090912E-2</v>
      </c>
      <c r="AF92" s="17">
        <f xml:space="preserve"> (PortfolioData[[#This Row],[Vacancy_%]] * 0.4) + (PortfolioData[[#This Row],[Debt_Ratio]] * 0.3) + (PortfolioData[[#This Row],[Interest_Rate]]/100 * 0.3)</f>
        <v>0.18620732097257442</v>
      </c>
    </row>
    <row r="93" spans="1:32" x14ac:dyDescent="0.3">
      <c r="A93" t="s">
        <v>125</v>
      </c>
      <c r="B93" t="s">
        <v>27</v>
      </c>
      <c r="C93" t="s">
        <v>16</v>
      </c>
      <c r="D93">
        <v>2016</v>
      </c>
      <c r="E93">
        <v>23388899</v>
      </c>
      <c r="F93">
        <v>25843876.210000001</v>
      </c>
      <c r="G93">
        <v>73</v>
      </c>
      <c r="H93">
        <v>68</v>
      </c>
      <c r="I93">
        <v>5685</v>
      </c>
      <c r="J93">
        <v>401994</v>
      </c>
      <c r="K93">
        <v>267538</v>
      </c>
      <c r="L93">
        <v>12187409</v>
      </c>
      <c r="M93">
        <v>5.46</v>
      </c>
      <c r="N93" t="s">
        <v>24</v>
      </c>
      <c r="O93" s="5">
        <f>PortfolioData[[#This Row],[Occupied_Units]]*PortfolioData[[#This Row],[Avg_Rent_per_Unit]]*12</f>
        <v>4638960</v>
      </c>
      <c r="P93" s="3">
        <f>1-(PortfolioData[[#This Row],[Occupied_Units]]/PortfolioData[[#This Row],[Units]])</f>
        <v>6.8493150684931559E-2</v>
      </c>
      <c r="Q93" s="5">
        <f>PortfolioData[[#This Row],[Gross_Rental_Income]] - PortfolioData[[#This Row],[Operating_Cost]] - PortfolioData[[#This Row],[Maintenance_Cost]]</f>
        <v>3969428</v>
      </c>
      <c r="R93" s="5">
        <f>PortfolioData[[#This Row],[Adjusted_Debt_Outstanding]]*(PortfolioData[[#This Row],[Interest_Rate]]/100)</f>
        <v>665432.53139999998</v>
      </c>
      <c r="S93" s="5">
        <f>MIN(PortfolioData[[#This Row],[Debt_Outstanding]], PortfolioData[[#This Row],[Current_Value]]*0.8)</f>
        <v>12187409</v>
      </c>
      <c r="T93" s="5">
        <f>PortfolioData[[#This Row],[Net Operating Income (NOI)]]/PortfolioData[[#This Row],[Annual_Debt_Service]]</f>
        <v>5.9651847673403369</v>
      </c>
      <c r="U93" s="5">
        <f>PortfolioData[[#This Row],[Net Operating Income (NOI)]]-PortfolioData[[#This Row],[Annual_Debt_Service]]</f>
        <v>3303995.4686000003</v>
      </c>
      <c r="V93" s="5">
        <f>PortfolioData[[#This Row],[Net Operating Income (NOI)]]</f>
        <v>3969428</v>
      </c>
      <c r="W93" s="3">
        <f>PortfolioData[[#This Row],[Gross_Rental_Income]] / PortfolioData[[#This Row],[Purchase_Price]]</f>
        <v>0.19834024679827811</v>
      </c>
      <c r="X93" s="3">
        <f>PortfolioData[[#This Row],[Net Operating Income (NOI)]]/PortfolioData[[#This Row],[Current_Value]]</f>
        <v>0.15359259453750493</v>
      </c>
      <c r="Y93" s="3">
        <f>(PortfolioData[[#This Row],[Current_Value]]-PortfolioData[[#This Row],[Purchase_Price]]+PortfolioData[[#This Row],[Net Operating Income (NOI)]]) / PortfolioData[[#This Row],[Purchase_Price]]</f>
        <v>0.27467753869047024</v>
      </c>
      <c r="Z93" s="5">
        <f>_xlfn.PERCENTRANK.INC(PortfolioData[ROI],PortfolioData[[#This Row],[ROI]])</f>
        <v>0.61699999999999999</v>
      </c>
      <c r="AA93" s="3" t="str">
        <f>IF(PortfolioData[[#This Row],[ROI_Percentile]]&lt;=0.1,"Underperforming","Healthy")</f>
        <v>Healthy</v>
      </c>
      <c r="AB93" s="3">
        <f>PortfolioData[[#This Row],[Debt_Outstanding]]/PortfolioData[[#This Row],[Current_Value]]</f>
        <v>0.47157821454369209</v>
      </c>
      <c r="AC93">
        <f>PortfolioData[[#This Row],[Units]]*PortfolioData[[#This Row],[Avg_Rent_per_Unit]]*12</f>
        <v>4980060</v>
      </c>
      <c r="AD93" s="13">
        <f>PortfolioData[[#This Row],[Potential_Revenue]]-PortfolioData[[#This Row],[Gross_Rental_Income]]</f>
        <v>341100</v>
      </c>
      <c r="AE93" s="3">
        <f>IFERROR(PortfolioData[[#This Row],[Vacancy_Loss]]/PortfolioData[[#This Row],[Potential_Revenue]],0)</f>
        <v>6.8493150684931503E-2</v>
      </c>
      <c r="AF93" s="17">
        <f xml:space="preserve"> (PortfolioData[[#This Row],[Vacancy_%]] * 0.4) + (PortfolioData[[#This Row],[Debt_Ratio]] * 0.3) + (PortfolioData[[#This Row],[Interest_Rate]]/100 * 0.3)</f>
        <v>0.18525072463708026</v>
      </c>
    </row>
    <row r="94" spans="1:32" x14ac:dyDescent="0.3">
      <c r="A94" t="s">
        <v>70</v>
      </c>
      <c r="B94" t="s">
        <v>22</v>
      </c>
      <c r="C94" t="s">
        <v>30</v>
      </c>
      <c r="D94">
        <v>2013</v>
      </c>
      <c r="E94">
        <v>16482486</v>
      </c>
      <c r="F94">
        <v>20698543.579999998</v>
      </c>
      <c r="G94">
        <v>52</v>
      </c>
      <c r="H94">
        <v>44</v>
      </c>
      <c r="I94">
        <v>3962</v>
      </c>
      <c r="J94">
        <v>697497</v>
      </c>
      <c r="K94">
        <v>277699</v>
      </c>
      <c r="L94">
        <v>7541826</v>
      </c>
      <c r="M94">
        <v>4.33</v>
      </c>
      <c r="N94" t="s">
        <v>17</v>
      </c>
      <c r="O94" s="5">
        <f>PortfolioData[[#This Row],[Occupied_Units]]*PortfolioData[[#This Row],[Avg_Rent_per_Unit]]*12</f>
        <v>2091936</v>
      </c>
      <c r="P94" s="3">
        <f>1-(PortfolioData[[#This Row],[Occupied_Units]]/PortfolioData[[#This Row],[Units]])</f>
        <v>0.15384615384615385</v>
      </c>
      <c r="Q94" s="5">
        <f>PortfolioData[[#This Row],[Gross_Rental_Income]] - PortfolioData[[#This Row],[Operating_Cost]] - PortfolioData[[#This Row],[Maintenance_Cost]]</f>
        <v>1116740</v>
      </c>
      <c r="R94" s="5">
        <f>PortfolioData[[#This Row],[Adjusted_Debt_Outstanding]]*(PortfolioData[[#This Row],[Interest_Rate]]/100)</f>
        <v>326561.06579999998</v>
      </c>
      <c r="S94" s="5">
        <f>MIN(PortfolioData[[#This Row],[Debt_Outstanding]], PortfolioData[[#This Row],[Current_Value]]*0.8)</f>
        <v>7541826</v>
      </c>
      <c r="T94" s="5">
        <f>PortfolioData[[#This Row],[Net Operating Income (NOI)]]/PortfolioData[[#This Row],[Annual_Debt_Service]]</f>
        <v>3.4196973153068391</v>
      </c>
      <c r="U94" s="5">
        <f>PortfolioData[[#This Row],[Net Operating Income (NOI)]]-PortfolioData[[#This Row],[Annual_Debt_Service]]</f>
        <v>790178.93420000002</v>
      </c>
      <c r="V94" s="5">
        <f>PortfolioData[[#This Row],[Net Operating Income (NOI)]]</f>
        <v>1116740</v>
      </c>
      <c r="W94" s="3">
        <f>PortfolioData[[#This Row],[Gross_Rental_Income]] / PortfolioData[[#This Row],[Purchase_Price]]</f>
        <v>0.12691871845060265</v>
      </c>
      <c r="X94" s="3">
        <f>PortfolioData[[#This Row],[Net Operating Income (NOI)]]/PortfolioData[[#This Row],[Current_Value]]</f>
        <v>5.3952588291238612E-2</v>
      </c>
      <c r="Y94" s="3">
        <f>(PortfolioData[[#This Row],[Current_Value]]-PortfolioData[[#This Row],[Purchase_Price]]+PortfolioData[[#This Row],[Net Operating Income (NOI)]]) / PortfolioData[[#This Row],[Purchase_Price]]</f>
        <v>0.32354327981834768</v>
      </c>
      <c r="Z94" s="5">
        <f>_xlfn.PERCENTRANK.INC(PortfolioData[ROI],PortfolioData[[#This Row],[ROI]])</f>
        <v>0.71799999999999997</v>
      </c>
      <c r="AA94" s="3" t="str">
        <f>IF(PortfolioData[[#This Row],[ROI_Percentile]]&lt;=0.1,"Underperforming","Healthy")</f>
        <v>Healthy</v>
      </c>
      <c r="AB94" s="3">
        <f>PortfolioData[[#This Row],[Debt_Outstanding]]/PortfolioData[[#This Row],[Current_Value]]</f>
        <v>0.36436505645195744</v>
      </c>
      <c r="AC94">
        <f>PortfolioData[[#This Row],[Units]]*PortfolioData[[#This Row],[Avg_Rent_per_Unit]]*12</f>
        <v>2472288</v>
      </c>
      <c r="AD94" s="13">
        <f>PortfolioData[[#This Row],[Potential_Revenue]]-PortfolioData[[#This Row],[Gross_Rental_Income]]</f>
        <v>380352</v>
      </c>
      <c r="AE94" s="3">
        <f>IFERROR(PortfolioData[[#This Row],[Vacancy_Loss]]/PortfolioData[[#This Row],[Potential_Revenue]],0)</f>
        <v>0.15384615384615385</v>
      </c>
      <c r="AF94" s="17">
        <f xml:space="preserve"> (PortfolioData[[#This Row],[Vacancy_%]] * 0.4) + (PortfolioData[[#This Row],[Debt_Ratio]] * 0.3) + (PortfolioData[[#This Row],[Interest_Rate]]/100 * 0.3)</f>
        <v>0.18383797847404876</v>
      </c>
    </row>
    <row r="95" spans="1:32" x14ac:dyDescent="0.3">
      <c r="A95" t="s">
        <v>140</v>
      </c>
      <c r="B95" t="s">
        <v>22</v>
      </c>
      <c r="C95" t="s">
        <v>20</v>
      </c>
      <c r="D95">
        <v>2019</v>
      </c>
      <c r="E95">
        <v>20520628</v>
      </c>
      <c r="F95">
        <v>26745140.260000002</v>
      </c>
      <c r="G95">
        <v>18</v>
      </c>
      <c r="H95">
        <v>15</v>
      </c>
      <c r="I95">
        <v>3224</v>
      </c>
      <c r="J95">
        <v>596442</v>
      </c>
      <c r="K95">
        <v>448361</v>
      </c>
      <c r="L95">
        <v>8768049</v>
      </c>
      <c r="M95">
        <v>5.56</v>
      </c>
      <c r="N95" t="s">
        <v>24</v>
      </c>
      <c r="O95" s="5">
        <f>PortfolioData[[#This Row],[Occupied_Units]]*PortfolioData[[#This Row],[Avg_Rent_per_Unit]]*12</f>
        <v>580320</v>
      </c>
      <c r="P95" s="3">
        <f>1-(PortfolioData[[#This Row],[Occupied_Units]]/PortfolioData[[#This Row],[Units]])</f>
        <v>0.16666666666666663</v>
      </c>
      <c r="Q95" s="5">
        <f>PortfolioData[[#This Row],[Gross_Rental_Income]] - PortfolioData[[#This Row],[Operating_Cost]] - PortfolioData[[#This Row],[Maintenance_Cost]]</f>
        <v>-464483</v>
      </c>
      <c r="R95" s="5">
        <f>PortfolioData[[#This Row],[Adjusted_Debt_Outstanding]]*(PortfolioData[[#This Row],[Interest_Rate]]/100)</f>
        <v>487503.52439999999</v>
      </c>
      <c r="S95" s="5">
        <f>MIN(PortfolioData[[#This Row],[Debt_Outstanding]], PortfolioData[[#This Row],[Current_Value]]*0.8)</f>
        <v>8768049</v>
      </c>
      <c r="T95" s="5">
        <f>PortfolioData[[#This Row],[Net Operating Income (NOI)]]/PortfolioData[[#This Row],[Annual_Debt_Service]]</f>
        <v>-0.9527787528750018</v>
      </c>
      <c r="U95" s="5">
        <f>PortfolioData[[#This Row],[Net Operating Income (NOI)]]-PortfolioData[[#This Row],[Annual_Debt_Service]]</f>
        <v>-951986.52439999999</v>
      </c>
      <c r="V95" s="5">
        <f>PortfolioData[[#This Row],[Net Operating Income (NOI)]]</f>
        <v>-464483</v>
      </c>
      <c r="W95" s="3">
        <f>PortfolioData[[#This Row],[Gross_Rental_Income]] / PortfolioData[[#This Row],[Purchase_Price]]</f>
        <v>2.8279836270118049E-2</v>
      </c>
      <c r="X95" s="3">
        <f>PortfolioData[[#This Row],[Net Operating Income (NOI)]]/PortfolioData[[#This Row],[Current_Value]]</f>
        <v>-1.7367005575015818E-2</v>
      </c>
      <c r="Y95" s="3">
        <f>(PortfolioData[[#This Row],[Current_Value]]-PortfolioData[[#This Row],[Purchase_Price]]+PortfolioData[[#This Row],[Net Operating Income (NOI)]]) / PortfolioData[[#This Row],[Purchase_Price]]</f>
        <v>0.2806945898536829</v>
      </c>
      <c r="Z95" s="5">
        <f>_xlfn.PERCENTRANK.INC(PortfolioData[ROI],PortfolioData[[#This Row],[ROI]])</f>
        <v>0.63</v>
      </c>
      <c r="AA95" s="3" t="str">
        <f>IF(PortfolioData[[#This Row],[ROI_Percentile]]&lt;=0.1,"Underperforming","Healthy")</f>
        <v>Healthy</v>
      </c>
      <c r="AB95" s="3">
        <f>PortfolioData[[#This Row],[Debt_Outstanding]]/PortfolioData[[#This Row],[Current_Value]]</f>
        <v>0.32783709170198233</v>
      </c>
      <c r="AC95">
        <f>PortfolioData[[#This Row],[Units]]*PortfolioData[[#This Row],[Avg_Rent_per_Unit]]*12</f>
        <v>696384</v>
      </c>
      <c r="AD95" s="13">
        <f>PortfolioData[[#This Row],[Potential_Revenue]]-PortfolioData[[#This Row],[Gross_Rental_Income]]</f>
        <v>116064</v>
      </c>
      <c r="AE95" s="3">
        <f>IFERROR(PortfolioData[[#This Row],[Vacancy_Loss]]/PortfolioData[[#This Row],[Potential_Revenue]],0)</f>
        <v>0.16666666666666666</v>
      </c>
      <c r="AF95" s="17">
        <f xml:space="preserve"> (PortfolioData[[#This Row],[Vacancy_%]] * 0.4) + (PortfolioData[[#This Row],[Debt_Ratio]] * 0.3) + (PortfolioData[[#This Row],[Interest_Rate]]/100 * 0.3)</f>
        <v>0.18169779417726137</v>
      </c>
    </row>
    <row r="96" spans="1:32" x14ac:dyDescent="0.3">
      <c r="A96" t="s">
        <v>69</v>
      </c>
      <c r="B96" t="s">
        <v>15</v>
      </c>
      <c r="C96" t="s">
        <v>30</v>
      </c>
      <c r="D96">
        <v>2010</v>
      </c>
      <c r="E96">
        <v>13629790</v>
      </c>
      <c r="F96">
        <v>17977323.02</v>
      </c>
      <c r="G96">
        <v>36</v>
      </c>
      <c r="H96">
        <v>33</v>
      </c>
      <c r="I96">
        <v>2915</v>
      </c>
      <c r="J96">
        <v>624393</v>
      </c>
      <c r="K96">
        <v>448510</v>
      </c>
      <c r="L96">
        <v>7651072</v>
      </c>
      <c r="M96">
        <v>6.37</v>
      </c>
      <c r="N96" t="s">
        <v>17</v>
      </c>
      <c r="O96" s="5">
        <f>PortfolioData[[#This Row],[Occupied_Units]]*PortfolioData[[#This Row],[Avg_Rent_per_Unit]]*12</f>
        <v>1154340</v>
      </c>
      <c r="P96" s="3">
        <f>1-(PortfolioData[[#This Row],[Occupied_Units]]/PortfolioData[[#This Row],[Units]])</f>
        <v>8.333333333333337E-2</v>
      </c>
      <c r="Q96" s="5">
        <f>PortfolioData[[#This Row],[Gross_Rental_Income]] - PortfolioData[[#This Row],[Operating_Cost]] - PortfolioData[[#This Row],[Maintenance_Cost]]</f>
        <v>81437</v>
      </c>
      <c r="R96" s="5">
        <f>PortfolioData[[#This Row],[Adjusted_Debt_Outstanding]]*(PortfolioData[[#This Row],[Interest_Rate]]/100)</f>
        <v>487373.28640000004</v>
      </c>
      <c r="S96" s="5">
        <f>MIN(PortfolioData[[#This Row],[Debt_Outstanding]], PortfolioData[[#This Row],[Current_Value]]*0.8)</f>
        <v>7651072</v>
      </c>
      <c r="T96" s="5">
        <f>PortfolioData[[#This Row],[Net Operating Income (NOI)]]/PortfolioData[[#This Row],[Annual_Debt_Service]]</f>
        <v>0.16709368829288382</v>
      </c>
      <c r="U96" s="5">
        <f>PortfolioData[[#This Row],[Net Operating Income (NOI)]]-PortfolioData[[#This Row],[Annual_Debt_Service]]</f>
        <v>-405936.28640000004</v>
      </c>
      <c r="V96" s="5">
        <f>PortfolioData[[#This Row],[Net Operating Income (NOI)]]</f>
        <v>81437</v>
      </c>
      <c r="W96" s="3">
        <f>PortfolioData[[#This Row],[Gross_Rental_Income]] / PortfolioData[[#This Row],[Purchase_Price]]</f>
        <v>8.4692427396166781E-2</v>
      </c>
      <c r="X96" s="3">
        <f>PortfolioData[[#This Row],[Net Operating Income (NOI)]]/PortfolioData[[#This Row],[Current_Value]]</f>
        <v>4.5299847985932227E-3</v>
      </c>
      <c r="Y96" s="3">
        <f>(PortfolioData[[#This Row],[Current_Value]]-PortfolioData[[#This Row],[Purchase_Price]]+PortfolioData[[#This Row],[Net Operating Income (NOI)]]) / PortfolioData[[#This Row],[Purchase_Price]]</f>
        <v>0.324947781293769</v>
      </c>
      <c r="Z96" s="5">
        <f>_xlfn.PERCENTRANK.INC(PortfolioData[ROI],PortfolioData[[#This Row],[ROI]])</f>
        <v>0.73099999999999998</v>
      </c>
      <c r="AA96" s="3" t="str">
        <f>IF(PortfolioData[[#This Row],[ROI_Percentile]]&lt;=0.1,"Underperforming","Healthy")</f>
        <v>Healthy</v>
      </c>
      <c r="AB96" s="3">
        <f>PortfolioData[[#This Row],[Debt_Outstanding]]/PortfolioData[[#This Row],[Current_Value]]</f>
        <v>0.42559573477586654</v>
      </c>
      <c r="AC96">
        <f>PortfolioData[[#This Row],[Units]]*PortfolioData[[#This Row],[Avg_Rent_per_Unit]]*12</f>
        <v>1259280</v>
      </c>
      <c r="AD96" s="13">
        <f>PortfolioData[[#This Row],[Potential_Revenue]]-PortfolioData[[#This Row],[Gross_Rental_Income]]</f>
        <v>104940</v>
      </c>
      <c r="AE96" s="3">
        <f>IFERROR(PortfolioData[[#This Row],[Vacancy_Loss]]/PortfolioData[[#This Row],[Potential_Revenue]],0)</f>
        <v>8.3333333333333329E-2</v>
      </c>
      <c r="AF96" s="17">
        <f xml:space="preserve"> (PortfolioData[[#This Row],[Vacancy_%]] * 0.4) + (PortfolioData[[#This Row],[Debt_Ratio]] * 0.3) + (PortfolioData[[#This Row],[Interest_Rate]]/100 * 0.3)</f>
        <v>0.1801220537660933</v>
      </c>
    </row>
    <row r="97" spans="1:32" x14ac:dyDescent="0.3">
      <c r="A97" t="s">
        <v>41</v>
      </c>
      <c r="B97" t="s">
        <v>19</v>
      </c>
      <c r="C97" t="s">
        <v>23</v>
      </c>
      <c r="D97">
        <v>2018</v>
      </c>
      <c r="E97">
        <v>23346942</v>
      </c>
      <c r="F97">
        <v>25745730.91</v>
      </c>
      <c r="G97">
        <v>27</v>
      </c>
      <c r="H97">
        <v>22</v>
      </c>
      <c r="I97">
        <v>1990</v>
      </c>
      <c r="J97">
        <v>837477</v>
      </c>
      <c r="K97">
        <v>492734</v>
      </c>
      <c r="L97">
        <v>7038046</v>
      </c>
      <c r="M97">
        <v>7.41</v>
      </c>
      <c r="N97" t="s">
        <v>24</v>
      </c>
      <c r="O97" s="5">
        <f>PortfolioData[[#This Row],[Occupied_Units]]*PortfolioData[[#This Row],[Avg_Rent_per_Unit]]*12</f>
        <v>525360</v>
      </c>
      <c r="P97" s="3">
        <f>1-(PortfolioData[[#This Row],[Occupied_Units]]/PortfolioData[[#This Row],[Units]])</f>
        <v>0.18518518518518523</v>
      </c>
      <c r="Q97" s="5">
        <f>PortfolioData[[#This Row],[Gross_Rental_Income]] - PortfolioData[[#This Row],[Operating_Cost]] - PortfolioData[[#This Row],[Maintenance_Cost]]</f>
        <v>-804851</v>
      </c>
      <c r="R97" s="5">
        <f>PortfolioData[[#This Row],[Adjusted_Debt_Outstanding]]*(PortfolioData[[#This Row],[Interest_Rate]]/100)</f>
        <v>521519.20860000001</v>
      </c>
      <c r="S97" s="5">
        <f>MIN(PortfolioData[[#This Row],[Debt_Outstanding]], PortfolioData[[#This Row],[Current_Value]]*0.8)</f>
        <v>7038046</v>
      </c>
      <c r="T97" s="5">
        <f>PortfolioData[[#This Row],[Net Operating Income (NOI)]]/PortfolioData[[#This Row],[Annual_Debt_Service]]</f>
        <v>-1.543281602533096</v>
      </c>
      <c r="U97" s="5">
        <f>PortfolioData[[#This Row],[Net Operating Income (NOI)]]-PortfolioData[[#This Row],[Annual_Debt_Service]]</f>
        <v>-1326370.2086</v>
      </c>
      <c r="V97" s="5">
        <f>PortfolioData[[#This Row],[Net Operating Income (NOI)]]</f>
        <v>-804851</v>
      </c>
      <c r="W97" s="3">
        <f>PortfolioData[[#This Row],[Gross_Rental_Income]] / PortfolioData[[#This Row],[Purchase_Price]]</f>
        <v>2.250230458447192E-2</v>
      </c>
      <c r="X97" s="3">
        <f>PortfolioData[[#This Row],[Net Operating Income (NOI)]]/PortfolioData[[#This Row],[Current_Value]]</f>
        <v>-3.1261532360978131E-2</v>
      </c>
      <c r="Y97" s="3">
        <f>(PortfolioData[[#This Row],[Current_Value]]-PortfolioData[[#This Row],[Purchase_Price]]+PortfolioData[[#This Row],[Net Operating Income (NOI)]]) / PortfolioData[[#This Row],[Purchase_Price]]</f>
        <v>6.8271806646026709E-2</v>
      </c>
      <c r="Z97" s="5">
        <f>_xlfn.PERCENTRANK.INC(PortfolioData[ROI],PortfolioData[[#This Row],[ROI]])</f>
        <v>0.255</v>
      </c>
      <c r="AA97" s="3" t="str">
        <f>IF(PortfolioData[[#This Row],[ROI_Percentile]]&lt;=0.1,"Underperforming","Healthy")</f>
        <v>Healthy</v>
      </c>
      <c r="AB97" s="3">
        <f>PortfolioData[[#This Row],[Debt_Outstanding]]/PortfolioData[[#This Row],[Current_Value]]</f>
        <v>0.2733674963279572</v>
      </c>
      <c r="AC97">
        <f>PortfolioData[[#This Row],[Units]]*PortfolioData[[#This Row],[Avg_Rent_per_Unit]]*12</f>
        <v>644760</v>
      </c>
      <c r="AD97" s="13">
        <f>PortfolioData[[#This Row],[Potential_Revenue]]-PortfolioData[[#This Row],[Gross_Rental_Income]]</f>
        <v>119400</v>
      </c>
      <c r="AE97" s="3">
        <f>IFERROR(PortfolioData[[#This Row],[Vacancy_Loss]]/PortfolioData[[#This Row],[Potential_Revenue]],0)</f>
        <v>0.18518518518518517</v>
      </c>
      <c r="AF97" s="17">
        <f xml:space="preserve"> (PortfolioData[[#This Row],[Vacancy_%]] * 0.4) + (PortfolioData[[#This Row],[Debt_Ratio]] * 0.3) + (PortfolioData[[#This Row],[Interest_Rate]]/100 * 0.3)</f>
        <v>0.17831432297246128</v>
      </c>
    </row>
    <row r="98" spans="1:32" x14ac:dyDescent="0.3">
      <c r="A98" t="s">
        <v>95</v>
      </c>
      <c r="B98" t="s">
        <v>22</v>
      </c>
      <c r="C98" t="s">
        <v>23</v>
      </c>
      <c r="D98">
        <v>2021</v>
      </c>
      <c r="E98">
        <v>22328522</v>
      </c>
      <c r="F98">
        <v>28667613.789999999</v>
      </c>
      <c r="G98">
        <v>22</v>
      </c>
      <c r="H98">
        <v>20</v>
      </c>
      <c r="I98">
        <v>4938</v>
      </c>
      <c r="J98">
        <v>477929</v>
      </c>
      <c r="K98">
        <v>172601</v>
      </c>
      <c r="L98">
        <v>12051312</v>
      </c>
      <c r="M98">
        <v>4.88</v>
      </c>
      <c r="N98" t="s">
        <v>17</v>
      </c>
      <c r="O98" s="5">
        <f>PortfolioData[[#This Row],[Occupied_Units]]*PortfolioData[[#This Row],[Avg_Rent_per_Unit]]*12</f>
        <v>1185120</v>
      </c>
      <c r="P98" s="3">
        <f>1-(PortfolioData[[#This Row],[Occupied_Units]]/PortfolioData[[#This Row],[Units]])</f>
        <v>9.0909090909090939E-2</v>
      </c>
      <c r="Q98" s="5">
        <f>PortfolioData[[#This Row],[Gross_Rental_Income]] - PortfolioData[[#This Row],[Operating_Cost]] - PortfolioData[[#This Row],[Maintenance_Cost]]</f>
        <v>534590</v>
      </c>
      <c r="R98" s="5">
        <f>PortfolioData[[#This Row],[Adjusted_Debt_Outstanding]]*(PortfolioData[[#This Row],[Interest_Rate]]/100)</f>
        <v>588104.02559999994</v>
      </c>
      <c r="S98" s="5">
        <f>MIN(PortfolioData[[#This Row],[Debt_Outstanding]], PortfolioData[[#This Row],[Current_Value]]*0.8)</f>
        <v>12051312</v>
      </c>
      <c r="T98" s="5">
        <f>PortfolioData[[#This Row],[Net Operating Income (NOI)]]/PortfolioData[[#This Row],[Annual_Debt_Service]]</f>
        <v>0.90900585054590732</v>
      </c>
      <c r="U98" s="5">
        <f>PortfolioData[[#This Row],[Net Operating Income (NOI)]]-PortfolioData[[#This Row],[Annual_Debt_Service]]</f>
        <v>-53514.025599999935</v>
      </c>
      <c r="V98" s="5">
        <f>PortfolioData[[#This Row],[Net Operating Income (NOI)]]</f>
        <v>534590</v>
      </c>
      <c r="W98" s="3">
        <f>PortfolioData[[#This Row],[Gross_Rental_Income]] / PortfolioData[[#This Row],[Purchase_Price]]</f>
        <v>5.3076509049725724E-2</v>
      </c>
      <c r="X98" s="3">
        <f>PortfolioData[[#This Row],[Net Operating Income (NOI)]]/PortfolioData[[#This Row],[Current_Value]]</f>
        <v>1.8647872261572003E-2</v>
      </c>
      <c r="Y98" s="3">
        <f>(PortfolioData[[#This Row],[Current_Value]]-PortfolioData[[#This Row],[Purchase_Price]]+PortfolioData[[#This Row],[Net Operating Income (NOI)]]) / PortfolioData[[#This Row],[Purchase_Price]]</f>
        <v>0.30784311608264975</v>
      </c>
      <c r="Z98" s="5">
        <f>_xlfn.PERCENTRANK.INC(PortfolioData[ROI],PortfolioData[[#This Row],[ROI]])</f>
        <v>0.69099999999999995</v>
      </c>
      <c r="AA98" s="3" t="str">
        <f>IF(PortfolioData[[#This Row],[ROI_Percentile]]&lt;=0.1,"Underperforming","Healthy")</f>
        <v>Healthy</v>
      </c>
      <c r="AB98" s="3">
        <f>PortfolioData[[#This Row],[Debt_Outstanding]]/PortfolioData[[#This Row],[Current_Value]]</f>
        <v>0.42038071561448925</v>
      </c>
      <c r="AC98">
        <f>PortfolioData[[#This Row],[Units]]*PortfolioData[[#This Row],[Avg_Rent_per_Unit]]*12</f>
        <v>1303632</v>
      </c>
      <c r="AD98" s="13">
        <f>PortfolioData[[#This Row],[Potential_Revenue]]-PortfolioData[[#This Row],[Gross_Rental_Income]]</f>
        <v>118512</v>
      </c>
      <c r="AE98" s="3">
        <f>IFERROR(PortfolioData[[#This Row],[Vacancy_Loss]]/PortfolioData[[#This Row],[Potential_Revenue]],0)</f>
        <v>9.0909090909090912E-2</v>
      </c>
      <c r="AF98" s="17">
        <f xml:space="preserve"> (PortfolioData[[#This Row],[Vacancy_%]] * 0.4) + (PortfolioData[[#This Row],[Debt_Ratio]] * 0.3) + (PortfolioData[[#This Row],[Interest_Rate]]/100 * 0.3)</f>
        <v>0.17711785104798314</v>
      </c>
    </row>
    <row r="99" spans="1:32" x14ac:dyDescent="0.3">
      <c r="A99" t="s">
        <v>119</v>
      </c>
      <c r="B99" t="s">
        <v>35</v>
      </c>
      <c r="C99" t="s">
        <v>20</v>
      </c>
      <c r="D99">
        <v>2018</v>
      </c>
      <c r="E99">
        <v>13671517</v>
      </c>
      <c r="F99">
        <v>15083610.289999999</v>
      </c>
      <c r="G99">
        <v>35</v>
      </c>
      <c r="H99">
        <v>26</v>
      </c>
      <c r="I99">
        <v>2452</v>
      </c>
      <c r="J99">
        <v>827484</v>
      </c>
      <c r="K99">
        <v>306002</v>
      </c>
      <c r="L99">
        <v>2523990</v>
      </c>
      <c r="M99">
        <v>7.47</v>
      </c>
      <c r="N99" t="s">
        <v>24</v>
      </c>
      <c r="O99" s="5">
        <f>PortfolioData[[#This Row],[Occupied_Units]]*PortfolioData[[#This Row],[Avg_Rent_per_Unit]]*12</f>
        <v>765024</v>
      </c>
      <c r="P99" s="3">
        <f>1-(PortfolioData[[#This Row],[Occupied_Units]]/PortfolioData[[#This Row],[Units]])</f>
        <v>0.25714285714285712</v>
      </c>
      <c r="Q99" s="5">
        <f>PortfolioData[[#This Row],[Gross_Rental_Income]] - PortfolioData[[#This Row],[Operating_Cost]] - PortfolioData[[#This Row],[Maintenance_Cost]]</f>
        <v>-368462</v>
      </c>
      <c r="R99" s="5">
        <f>PortfolioData[[#This Row],[Adjusted_Debt_Outstanding]]*(PortfolioData[[#This Row],[Interest_Rate]]/100)</f>
        <v>188542.05300000001</v>
      </c>
      <c r="S99" s="5">
        <f>MIN(PortfolioData[[#This Row],[Debt_Outstanding]], PortfolioData[[#This Row],[Current_Value]]*0.8)</f>
        <v>2523990</v>
      </c>
      <c r="T99" s="5">
        <f>PortfolioData[[#This Row],[Net Operating Income (NOI)]]/PortfolioData[[#This Row],[Annual_Debt_Service]]</f>
        <v>-1.9542695867430699</v>
      </c>
      <c r="U99" s="5">
        <f>PortfolioData[[#This Row],[Net Operating Income (NOI)]]-PortfolioData[[#This Row],[Annual_Debt_Service]]</f>
        <v>-557004.05300000007</v>
      </c>
      <c r="V99" s="5">
        <f>PortfolioData[[#This Row],[Net Operating Income (NOI)]]</f>
        <v>-368462</v>
      </c>
      <c r="W99" s="3">
        <f>PortfolioData[[#This Row],[Gross_Rental_Income]] / PortfolioData[[#This Row],[Purchase_Price]]</f>
        <v>5.5957506398156109E-2</v>
      </c>
      <c r="X99" s="3">
        <f>PortfolioData[[#This Row],[Net Operating Income (NOI)]]/PortfolioData[[#This Row],[Current_Value]]</f>
        <v>-2.4427971348761228E-2</v>
      </c>
      <c r="Y99" s="3">
        <f>(PortfolioData[[#This Row],[Current_Value]]-PortfolioData[[#This Row],[Purchase_Price]]+PortfolioData[[#This Row],[Net Operating Income (NOI)]]) / PortfolioData[[#This Row],[Purchase_Price]]</f>
        <v>7.6336173227886786E-2</v>
      </c>
      <c r="Z99" s="5">
        <f>_xlfn.PERCENTRANK.INC(PortfolioData[ROI],PortfolioData[[#This Row],[ROI]])</f>
        <v>0.28799999999999998</v>
      </c>
      <c r="AA99" s="3" t="str">
        <f>IF(PortfolioData[[#This Row],[ROI_Percentile]]&lt;=0.1,"Underperforming","Healthy")</f>
        <v>Healthy</v>
      </c>
      <c r="AB99" s="3">
        <f>PortfolioData[[#This Row],[Debt_Outstanding]]/PortfolioData[[#This Row],[Current_Value]]</f>
        <v>0.1673332810562822</v>
      </c>
      <c r="AC99">
        <f>PortfolioData[[#This Row],[Units]]*PortfolioData[[#This Row],[Avg_Rent_per_Unit]]*12</f>
        <v>1029840</v>
      </c>
      <c r="AD99" s="13">
        <f>PortfolioData[[#This Row],[Potential_Revenue]]-PortfolioData[[#This Row],[Gross_Rental_Income]]</f>
        <v>264816</v>
      </c>
      <c r="AE99" s="3">
        <f>IFERROR(PortfolioData[[#This Row],[Vacancy_Loss]]/PortfolioData[[#This Row],[Potential_Revenue]],0)</f>
        <v>0.25714285714285712</v>
      </c>
      <c r="AF99" s="17">
        <f xml:space="preserve"> (PortfolioData[[#This Row],[Vacancy_%]] * 0.4) + (PortfolioData[[#This Row],[Debt_Ratio]] * 0.3) + (PortfolioData[[#This Row],[Interest_Rate]]/100 * 0.3)</f>
        <v>0.17546712717402752</v>
      </c>
    </row>
    <row r="100" spans="1:32" x14ac:dyDescent="0.3">
      <c r="A100" t="s">
        <v>71</v>
      </c>
      <c r="B100" t="s">
        <v>27</v>
      </c>
      <c r="C100" t="s">
        <v>30</v>
      </c>
      <c r="D100">
        <v>2020</v>
      </c>
      <c r="E100">
        <v>6220396</v>
      </c>
      <c r="F100">
        <v>6449407.2300000004</v>
      </c>
      <c r="G100">
        <v>55</v>
      </c>
      <c r="H100">
        <v>49</v>
      </c>
      <c r="I100">
        <v>1694</v>
      </c>
      <c r="J100">
        <v>369147</v>
      </c>
      <c r="K100">
        <v>409166</v>
      </c>
      <c r="L100">
        <v>2548079</v>
      </c>
      <c r="M100">
        <v>4.41</v>
      </c>
      <c r="N100" t="s">
        <v>24</v>
      </c>
      <c r="O100" s="5">
        <f>PortfolioData[[#This Row],[Occupied_Units]]*PortfolioData[[#This Row],[Avg_Rent_per_Unit]]*12</f>
        <v>996072</v>
      </c>
      <c r="P100" s="3">
        <f>1-(PortfolioData[[#This Row],[Occupied_Units]]/PortfolioData[[#This Row],[Units]])</f>
        <v>0.10909090909090913</v>
      </c>
      <c r="Q100" s="5">
        <f>PortfolioData[[#This Row],[Gross_Rental_Income]] - PortfolioData[[#This Row],[Operating_Cost]] - PortfolioData[[#This Row],[Maintenance_Cost]]</f>
        <v>217759</v>
      </c>
      <c r="R100" s="5">
        <f>PortfolioData[[#This Row],[Adjusted_Debt_Outstanding]]*(PortfolioData[[#This Row],[Interest_Rate]]/100)</f>
        <v>112370.28389999999</v>
      </c>
      <c r="S100" s="5">
        <f>MIN(PortfolioData[[#This Row],[Debt_Outstanding]], PortfolioData[[#This Row],[Current_Value]]*0.8)</f>
        <v>2548079</v>
      </c>
      <c r="T100" s="5">
        <f>PortfolioData[[#This Row],[Net Operating Income (NOI)]]/PortfolioData[[#This Row],[Annual_Debt_Service]]</f>
        <v>1.9378699816562448</v>
      </c>
      <c r="U100" s="5">
        <f>PortfolioData[[#This Row],[Net Operating Income (NOI)]]-PortfolioData[[#This Row],[Annual_Debt_Service]]</f>
        <v>105388.71610000001</v>
      </c>
      <c r="V100" s="5">
        <f>PortfolioData[[#This Row],[Net Operating Income (NOI)]]</f>
        <v>217759</v>
      </c>
      <c r="W100" s="3">
        <f>PortfolioData[[#This Row],[Gross_Rental_Income]] / PortfolioData[[#This Row],[Purchase_Price]]</f>
        <v>0.16012999815445833</v>
      </c>
      <c r="X100" s="3">
        <f>PortfolioData[[#This Row],[Net Operating Income (NOI)]]/PortfolioData[[#This Row],[Current_Value]]</f>
        <v>3.3764188278742009E-2</v>
      </c>
      <c r="Y100" s="3">
        <f>(PortfolioData[[#This Row],[Current_Value]]-PortfolioData[[#This Row],[Purchase_Price]]+PortfolioData[[#This Row],[Net Operating Income (NOI)]]) / PortfolioData[[#This Row],[Purchase_Price]]</f>
        <v>7.1823438572078124E-2</v>
      </c>
      <c r="Z100" s="5">
        <f>_xlfn.PERCENTRANK.INC(PortfolioData[ROI],PortfolioData[[#This Row],[ROI]])</f>
        <v>0.26800000000000002</v>
      </c>
      <c r="AA100" s="3" t="str">
        <f>IF(PortfolioData[[#This Row],[ROI_Percentile]]&lt;=0.1,"Underperforming","Healthy")</f>
        <v>Healthy</v>
      </c>
      <c r="AB100" s="3">
        <f>PortfolioData[[#This Row],[Debt_Outstanding]]/PortfolioData[[#This Row],[Current_Value]]</f>
        <v>0.39508731719519591</v>
      </c>
      <c r="AC100">
        <f>PortfolioData[[#This Row],[Units]]*PortfolioData[[#This Row],[Avg_Rent_per_Unit]]*12</f>
        <v>1118040</v>
      </c>
      <c r="AD100" s="13">
        <f>PortfolioData[[#This Row],[Potential_Revenue]]-PortfolioData[[#This Row],[Gross_Rental_Income]]</f>
        <v>121968</v>
      </c>
      <c r="AE100" s="3">
        <f>IFERROR(PortfolioData[[#This Row],[Vacancy_Loss]]/PortfolioData[[#This Row],[Potential_Revenue]],0)</f>
        <v>0.10909090909090909</v>
      </c>
      <c r="AF100" s="17">
        <f xml:space="preserve"> (PortfolioData[[#This Row],[Vacancy_%]] * 0.4) + (PortfolioData[[#This Row],[Debt_Ratio]] * 0.3) + (PortfolioData[[#This Row],[Interest_Rate]]/100 * 0.3)</f>
        <v>0.17539255879492241</v>
      </c>
    </row>
    <row r="101" spans="1:32" x14ac:dyDescent="0.3">
      <c r="A101" t="s">
        <v>158</v>
      </c>
      <c r="B101" t="s">
        <v>35</v>
      </c>
      <c r="C101" t="s">
        <v>20</v>
      </c>
      <c r="D101">
        <v>2011</v>
      </c>
      <c r="E101">
        <v>13833750</v>
      </c>
      <c r="F101">
        <v>18456680.66</v>
      </c>
      <c r="G101">
        <v>67</v>
      </c>
      <c r="H101">
        <v>67</v>
      </c>
      <c r="I101">
        <v>5880</v>
      </c>
      <c r="J101">
        <v>201808</v>
      </c>
      <c r="K101">
        <v>238911</v>
      </c>
      <c r="L101">
        <v>9892075</v>
      </c>
      <c r="M101">
        <v>4.4400000000000004</v>
      </c>
      <c r="N101" t="s">
        <v>17</v>
      </c>
      <c r="O101" s="5">
        <f>PortfolioData[[#This Row],[Occupied_Units]]*PortfolioData[[#This Row],[Avg_Rent_per_Unit]]*12</f>
        <v>4727520</v>
      </c>
      <c r="P101" s="3">
        <f>1-(PortfolioData[[#This Row],[Occupied_Units]]/PortfolioData[[#This Row],[Units]])</f>
        <v>0</v>
      </c>
      <c r="Q101" s="5">
        <f>PortfolioData[[#This Row],[Gross_Rental_Income]] - PortfolioData[[#This Row],[Operating_Cost]] - PortfolioData[[#This Row],[Maintenance_Cost]]</f>
        <v>4286801</v>
      </c>
      <c r="R101" s="5">
        <f>PortfolioData[[#This Row],[Adjusted_Debt_Outstanding]]*(PortfolioData[[#This Row],[Interest_Rate]]/100)</f>
        <v>439208.13</v>
      </c>
      <c r="S101" s="5">
        <f>MIN(PortfolioData[[#This Row],[Debt_Outstanding]], PortfolioData[[#This Row],[Current_Value]]*0.8)</f>
        <v>9892075</v>
      </c>
      <c r="T101" s="5">
        <f>PortfolioData[[#This Row],[Net Operating Income (NOI)]]/PortfolioData[[#This Row],[Annual_Debt_Service]]</f>
        <v>9.7602951930785071</v>
      </c>
      <c r="U101" s="5">
        <f>PortfolioData[[#This Row],[Net Operating Income (NOI)]]-PortfolioData[[#This Row],[Annual_Debt_Service]]</f>
        <v>3847592.87</v>
      </c>
      <c r="V101" s="5">
        <f>PortfolioData[[#This Row],[Net Operating Income (NOI)]]</f>
        <v>4286801</v>
      </c>
      <c r="W101" s="3">
        <f>PortfolioData[[#This Row],[Gross_Rental_Income]] / PortfolioData[[#This Row],[Purchase_Price]]</f>
        <v>0.34173814041745731</v>
      </c>
      <c r="X101" s="3">
        <f>PortfolioData[[#This Row],[Net Operating Income (NOI)]]/PortfolioData[[#This Row],[Current_Value]]</f>
        <v>0.23226283636637401</v>
      </c>
      <c r="Y101" s="3">
        <f>(PortfolioData[[#This Row],[Current_Value]]-PortfolioData[[#This Row],[Purchase_Price]]+PortfolioData[[#This Row],[Net Operating Income (NOI)]]) / PortfolioData[[#This Row],[Purchase_Price]]</f>
        <v>0.64405758814493541</v>
      </c>
      <c r="Z101" s="5">
        <f>_xlfn.PERCENTRANK.INC(PortfolioData[ROI],PortfolioData[[#This Row],[ROI]])</f>
        <v>0.99299999999999999</v>
      </c>
      <c r="AA101" s="3" t="str">
        <f>IF(PortfolioData[[#This Row],[ROI_Percentile]]&lt;=0.1,"Underperforming","Healthy")</f>
        <v>Healthy</v>
      </c>
      <c r="AB101" s="3">
        <f>PortfolioData[[#This Row],[Debt_Outstanding]]/PortfolioData[[#This Row],[Current_Value]]</f>
        <v>0.53596175727515671</v>
      </c>
      <c r="AC101">
        <f>PortfolioData[[#This Row],[Units]]*PortfolioData[[#This Row],[Avg_Rent_per_Unit]]*12</f>
        <v>4727520</v>
      </c>
      <c r="AD101" s="13">
        <f>PortfolioData[[#This Row],[Potential_Revenue]]-PortfolioData[[#This Row],[Gross_Rental_Income]]</f>
        <v>0</v>
      </c>
      <c r="AE101" s="3">
        <f>IFERROR(PortfolioData[[#This Row],[Vacancy_Loss]]/PortfolioData[[#This Row],[Potential_Revenue]],0)</f>
        <v>0</v>
      </c>
      <c r="AF101" s="17">
        <f xml:space="preserve"> (PortfolioData[[#This Row],[Vacancy_%]] * 0.4) + (PortfolioData[[#This Row],[Debt_Ratio]] * 0.3) + (PortfolioData[[#This Row],[Interest_Rate]]/100 * 0.3)</f>
        <v>0.17410852718254702</v>
      </c>
    </row>
    <row r="102" spans="1:32" x14ac:dyDescent="0.3">
      <c r="A102" t="s">
        <v>26</v>
      </c>
      <c r="B102" t="s">
        <v>27</v>
      </c>
      <c r="C102" t="s">
        <v>16</v>
      </c>
      <c r="D102">
        <v>2012</v>
      </c>
      <c r="E102">
        <v>19228439</v>
      </c>
      <c r="F102">
        <v>18231908.149999999</v>
      </c>
      <c r="G102">
        <v>28</v>
      </c>
      <c r="H102">
        <v>22</v>
      </c>
      <c r="I102">
        <v>5187</v>
      </c>
      <c r="J102">
        <v>850550</v>
      </c>
      <c r="K102">
        <v>470442</v>
      </c>
      <c r="L102">
        <v>4704540</v>
      </c>
      <c r="M102">
        <v>3.65</v>
      </c>
      <c r="N102" t="s">
        <v>24</v>
      </c>
      <c r="O102" s="5">
        <f>PortfolioData[[#This Row],[Occupied_Units]]*PortfolioData[[#This Row],[Avg_Rent_per_Unit]]*12</f>
        <v>1369368</v>
      </c>
      <c r="P102" s="3">
        <f>1-(PortfolioData[[#This Row],[Occupied_Units]]/PortfolioData[[#This Row],[Units]])</f>
        <v>0.2142857142857143</v>
      </c>
      <c r="Q102" s="5">
        <f>PortfolioData[[#This Row],[Gross_Rental_Income]] - PortfolioData[[#This Row],[Operating_Cost]] - PortfolioData[[#This Row],[Maintenance_Cost]]</f>
        <v>48376</v>
      </c>
      <c r="R102" s="5">
        <f>PortfolioData[[#This Row],[Adjusted_Debt_Outstanding]]*(PortfolioData[[#This Row],[Interest_Rate]]/100)</f>
        <v>171715.71</v>
      </c>
      <c r="S102" s="5">
        <f>MIN(PortfolioData[[#This Row],[Debt_Outstanding]], PortfolioData[[#This Row],[Current_Value]]*0.8)</f>
        <v>4704540</v>
      </c>
      <c r="T102" s="5">
        <f>PortfolioData[[#This Row],[Net Operating Income (NOI)]]/PortfolioData[[#This Row],[Annual_Debt_Service]]</f>
        <v>0.28172145693600198</v>
      </c>
      <c r="U102" s="5">
        <f>PortfolioData[[#This Row],[Net Operating Income (NOI)]]-PortfolioData[[#This Row],[Annual_Debt_Service]]</f>
        <v>-123339.70999999999</v>
      </c>
      <c r="V102" s="5">
        <f>PortfolioData[[#This Row],[Net Operating Income (NOI)]]</f>
        <v>48376</v>
      </c>
      <c r="W102" s="3">
        <f>PortfolioData[[#This Row],[Gross_Rental_Income]] / PortfolioData[[#This Row],[Purchase_Price]]</f>
        <v>7.1215765356719807E-2</v>
      </c>
      <c r="X102" s="3">
        <f>PortfolioData[[#This Row],[Net Operating Income (NOI)]]/PortfolioData[[#This Row],[Current_Value]]</f>
        <v>2.6533701026790223E-3</v>
      </c>
      <c r="Y102" s="3">
        <f>(PortfolioData[[#This Row],[Current_Value]]-PortfolioData[[#This Row],[Purchase_Price]]+PortfolioData[[#This Row],[Net Operating Income (NOI)]]) / PortfolioData[[#This Row],[Purchase_Price]]</f>
        <v>-4.9310027194615302E-2</v>
      </c>
      <c r="Z102" s="5">
        <f>_xlfn.PERCENTRANK.INC(PortfolioData[ROI],PortfolioData[[#This Row],[ROI]])</f>
        <v>6.7000000000000004E-2</v>
      </c>
      <c r="AA102" s="3" t="str">
        <f>IF(PortfolioData[[#This Row],[ROI_Percentile]]&lt;=0.1,"Underperforming","Healthy")</f>
        <v>Underperforming</v>
      </c>
      <c r="AB102" s="3">
        <f>PortfolioData[[#This Row],[Debt_Outstanding]]/PortfolioData[[#This Row],[Current_Value]]</f>
        <v>0.25803881641428739</v>
      </c>
      <c r="AC102">
        <f>PortfolioData[[#This Row],[Units]]*PortfolioData[[#This Row],[Avg_Rent_per_Unit]]*12</f>
        <v>1742832</v>
      </c>
      <c r="AD102" s="13">
        <f>PortfolioData[[#This Row],[Potential_Revenue]]-PortfolioData[[#This Row],[Gross_Rental_Income]]</f>
        <v>373464</v>
      </c>
      <c r="AE102" s="3">
        <f>IFERROR(PortfolioData[[#This Row],[Vacancy_Loss]]/PortfolioData[[#This Row],[Potential_Revenue]],0)</f>
        <v>0.21428571428571427</v>
      </c>
      <c r="AF102" s="17">
        <f xml:space="preserve"> (PortfolioData[[#This Row],[Vacancy_%]] * 0.4) + (PortfolioData[[#This Row],[Debt_Ratio]] * 0.3) + (PortfolioData[[#This Row],[Interest_Rate]]/100 * 0.3)</f>
        <v>0.17407593063857194</v>
      </c>
    </row>
    <row r="103" spans="1:32" x14ac:dyDescent="0.3">
      <c r="A103" t="s">
        <v>99</v>
      </c>
      <c r="B103" t="s">
        <v>35</v>
      </c>
      <c r="C103" t="s">
        <v>23</v>
      </c>
      <c r="D103">
        <v>2018</v>
      </c>
      <c r="E103">
        <v>19165442</v>
      </c>
      <c r="F103">
        <v>22465220.309999999</v>
      </c>
      <c r="G103">
        <v>28</v>
      </c>
      <c r="H103">
        <v>25</v>
      </c>
      <c r="I103">
        <v>5809</v>
      </c>
      <c r="J103">
        <v>573517</v>
      </c>
      <c r="K103">
        <v>488698</v>
      </c>
      <c r="L103">
        <v>8650910</v>
      </c>
      <c r="M103">
        <v>5.0999999999999996</v>
      </c>
      <c r="N103" t="s">
        <v>24</v>
      </c>
      <c r="O103" s="5">
        <f>PortfolioData[[#This Row],[Occupied_Units]]*PortfolioData[[#This Row],[Avg_Rent_per_Unit]]*12</f>
        <v>1742700</v>
      </c>
      <c r="P103" s="3">
        <f>1-(PortfolioData[[#This Row],[Occupied_Units]]/PortfolioData[[#This Row],[Units]])</f>
        <v>0.1071428571428571</v>
      </c>
      <c r="Q103" s="5">
        <f>PortfolioData[[#This Row],[Gross_Rental_Income]] - PortfolioData[[#This Row],[Operating_Cost]] - PortfolioData[[#This Row],[Maintenance_Cost]]</f>
        <v>680485</v>
      </c>
      <c r="R103" s="5">
        <f>PortfolioData[[#This Row],[Adjusted_Debt_Outstanding]]*(PortfolioData[[#This Row],[Interest_Rate]]/100)</f>
        <v>441196.41</v>
      </c>
      <c r="S103" s="5">
        <f>MIN(PortfolioData[[#This Row],[Debt_Outstanding]], PortfolioData[[#This Row],[Current_Value]]*0.8)</f>
        <v>8650910</v>
      </c>
      <c r="T103" s="5">
        <f>PortfolioData[[#This Row],[Net Operating Income (NOI)]]/PortfolioData[[#This Row],[Annual_Debt_Service]]</f>
        <v>1.5423629580304157</v>
      </c>
      <c r="U103" s="5">
        <f>PortfolioData[[#This Row],[Net Operating Income (NOI)]]-PortfolioData[[#This Row],[Annual_Debt_Service]]</f>
        <v>239288.59000000003</v>
      </c>
      <c r="V103" s="5">
        <f>PortfolioData[[#This Row],[Net Operating Income (NOI)]]</f>
        <v>680485</v>
      </c>
      <c r="W103" s="3">
        <f>PortfolioData[[#This Row],[Gross_Rental_Income]] / PortfolioData[[#This Row],[Purchase_Price]]</f>
        <v>9.0929288247043813E-2</v>
      </c>
      <c r="X103" s="3">
        <f>PortfolioData[[#This Row],[Net Operating Income (NOI)]]/PortfolioData[[#This Row],[Current_Value]]</f>
        <v>3.0290599896636405E-2</v>
      </c>
      <c r="Y103" s="3">
        <f>(PortfolioData[[#This Row],[Current_Value]]-PortfolioData[[#This Row],[Purchase_Price]]+PortfolioData[[#This Row],[Net Operating Income (NOI)]]) / PortfolioData[[#This Row],[Purchase_Price]]</f>
        <v>0.20767918162283963</v>
      </c>
      <c r="Z103" s="5">
        <f>_xlfn.PERCENTRANK.INC(PortfolioData[ROI],PortfolioData[[#This Row],[ROI]])</f>
        <v>0.45600000000000002</v>
      </c>
      <c r="AA103" s="3" t="str">
        <f>IF(PortfolioData[[#This Row],[ROI_Percentile]]&lt;=0.1,"Underperforming","Healthy")</f>
        <v>Healthy</v>
      </c>
      <c r="AB103" s="3">
        <f>PortfolioData[[#This Row],[Debt_Outstanding]]/PortfolioData[[#This Row],[Current_Value]]</f>
        <v>0.38508013189388574</v>
      </c>
      <c r="AC103">
        <f>PortfolioData[[#This Row],[Units]]*PortfolioData[[#This Row],[Avg_Rent_per_Unit]]*12</f>
        <v>1951824</v>
      </c>
      <c r="AD103" s="13">
        <f>PortfolioData[[#This Row],[Potential_Revenue]]-PortfolioData[[#This Row],[Gross_Rental_Income]]</f>
        <v>209124</v>
      </c>
      <c r="AE103" s="3">
        <f>IFERROR(PortfolioData[[#This Row],[Vacancy_Loss]]/PortfolioData[[#This Row],[Potential_Revenue]],0)</f>
        <v>0.10714285714285714</v>
      </c>
      <c r="AF103" s="17">
        <f xml:space="preserve"> (PortfolioData[[#This Row],[Vacancy_%]] * 0.4) + (PortfolioData[[#This Row],[Debt_Ratio]] * 0.3) + (PortfolioData[[#This Row],[Interest_Rate]]/100 * 0.3)</f>
        <v>0.17368118242530858</v>
      </c>
    </row>
    <row r="104" spans="1:32" x14ac:dyDescent="0.3">
      <c r="A104" t="s">
        <v>154</v>
      </c>
      <c r="B104" t="s">
        <v>22</v>
      </c>
      <c r="C104" t="s">
        <v>23</v>
      </c>
      <c r="D104">
        <v>2018</v>
      </c>
      <c r="E104">
        <v>19333579</v>
      </c>
      <c r="F104">
        <v>20315696.620000001</v>
      </c>
      <c r="G104">
        <v>78</v>
      </c>
      <c r="H104">
        <v>66</v>
      </c>
      <c r="I104">
        <v>3774</v>
      </c>
      <c r="J104">
        <v>459051</v>
      </c>
      <c r="K104">
        <v>375793</v>
      </c>
      <c r="L104">
        <v>6440206</v>
      </c>
      <c r="M104">
        <v>5.0999999999999996</v>
      </c>
      <c r="N104" t="s">
        <v>24</v>
      </c>
      <c r="O104" s="5">
        <f>PortfolioData[[#This Row],[Occupied_Units]]*PortfolioData[[#This Row],[Avg_Rent_per_Unit]]*12</f>
        <v>2989008</v>
      </c>
      <c r="P104" s="3">
        <f>1-(PortfolioData[[#This Row],[Occupied_Units]]/PortfolioData[[#This Row],[Units]])</f>
        <v>0.15384615384615385</v>
      </c>
      <c r="Q104" s="5">
        <f>PortfolioData[[#This Row],[Gross_Rental_Income]] - PortfolioData[[#This Row],[Operating_Cost]] - PortfolioData[[#This Row],[Maintenance_Cost]]</f>
        <v>2154164</v>
      </c>
      <c r="R104" s="5">
        <f>PortfolioData[[#This Row],[Adjusted_Debt_Outstanding]]*(PortfolioData[[#This Row],[Interest_Rate]]/100)</f>
        <v>328450.50599999999</v>
      </c>
      <c r="S104" s="5">
        <f>MIN(PortfolioData[[#This Row],[Debt_Outstanding]], PortfolioData[[#This Row],[Current_Value]]*0.8)</f>
        <v>6440206</v>
      </c>
      <c r="T104" s="5">
        <f>PortfolioData[[#This Row],[Net Operating Income (NOI)]]/PortfolioData[[#This Row],[Annual_Debt_Service]]</f>
        <v>6.5585650216657001</v>
      </c>
      <c r="U104" s="5">
        <f>PortfolioData[[#This Row],[Net Operating Income (NOI)]]-PortfolioData[[#This Row],[Annual_Debt_Service]]</f>
        <v>1825713.4939999999</v>
      </c>
      <c r="V104" s="5">
        <f>PortfolioData[[#This Row],[Net Operating Income (NOI)]]</f>
        <v>2154164</v>
      </c>
      <c r="W104" s="3">
        <f>PortfolioData[[#This Row],[Gross_Rental_Income]] / PortfolioData[[#This Row],[Purchase_Price]]</f>
        <v>0.15460189755864653</v>
      </c>
      <c r="X104" s="3">
        <f>PortfolioData[[#This Row],[Net Operating Income (NOI)]]/PortfolioData[[#This Row],[Current_Value]]</f>
        <v>0.10603446390705158</v>
      </c>
      <c r="Y104" s="3">
        <f>(PortfolioData[[#This Row],[Current_Value]]-PortfolioData[[#This Row],[Purchase_Price]]+PortfolioData[[#This Row],[Net Operating Income (NOI)]]) / PortfolioData[[#This Row],[Purchase_Price]]</f>
        <v>0.162219401798291</v>
      </c>
      <c r="Z104" s="5">
        <f>_xlfn.PERCENTRANK.INC(PortfolioData[ROI],PortfolioData[[#This Row],[ROI]])</f>
        <v>0.39500000000000002</v>
      </c>
      <c r="AA104" s="3" t="str">
        <f>IF(PortfolioData[[#This Row],[ROI_Percentile]]&lt;=0.1,"Underperforming","Healthy")</f>
        <v>Healthy</v>
      </c>
      <c r="AB104" s="3">
        <f>PortfolioData[[#This Row],[Debt_Outstanding]]/PortfolioData[[#This Row],[Current_Value]]</f>
        <v>0.31700640743275676</v>
      </c>
      <c r="AC104">
        <f>PortfolioData[[#This Row],[Units]]*PortfolioData[[#This Row],[Avg_Rent_per_Unit]]*12</f>
        <v>3532464</v>
      </c>
      <c r="AD104" s="13">
        <f>PortfolioData[[#This Row],[Potential_Revenue]]-PortfolioData[[#This Row],[Gross_Rental_Income]]</f>
        <v>543456</v>
      </c>
      <c r="AE104" s="3">
        <f>IFERROR(PortfolioData[[#This Row],[Vacancy_Loss]]/PortfolioData[[#This Row],[Potential_Revenue]],0)</f>
        <v>0.15384615384615385</v>
      </c>
      <c r="AF104" s="17">
        <f xml:space="preserve"> (PortfolioData[[#This Row],[Vacancy_%]] * 0.4) + (PortfolioData[[#This Row],[Debt_Ratio]] * 0.3) + (PortfolioData[[#This Row],[Interest_Rate]]/100 * 0.3)</f>
        <v>0.17194038376828857</v>
      </c>
    </row>
    <row r="105" spans="1:32" x14ac:dyDescent="0.3">
      <c r="A105" t="s">
        <v>59</v>
      </c>
      <c r="B105" t="s">
        <v>27</v>
      </c>
      <c r="C105" t="s">
        <v>30</v>
      </c>
      <c r="D105">
        <v>2015</v>
      </c>
      <c r="E105">
        <v>15054967</v>
      </c>
      <c r="F105">
        <v>18531974.359999999</v>
      </c>
      <c r="G105">
        <v>56</v>
      </c>
      <c r="H105">
        <v>55</v>
      </c>
      <c r="I105">
        <v>4192</v>
      </c>
      <c r="J105">
        <v>773659</v>
      </c>
      <c r="K105">
        <v>465470</v>
      </c>
      <c r="L105">
        <v>9207099</v>
      </c>
      <c r="M105">
        <v>5.0999999999999996</v>
      </c>
      <c r="N105" t="s">
        <v>24</v>
      </c>
      <c r="O105" s="5">
        <f>PortfolioData[[#This Row],[Occupied_Units]]*PortfolioData[[#This Row],[Avg_Rent_per_Unit]]*12</f>
        <v>2766720</v>
      </c>
      <c r="P105" s="3">
        <f>1-(PortfolioData[[#This Row],[Occupied_Units]]/PortfolioData[[#This Row],[Units]])</f>
        <v>1.7857142857142905E-2</v>
      </c>
      <c r="Q105" s="5">
        <f>PortfolioData[[#This Row],[Gross_Rental_Income]] - PortfolioData[[#This Row],[Operating_Cost]] - PortfolioData[[#This Row],[Maintenance_Cost]]</f>
        <v>1527591</v>
      </c>
      <c r="R105" s="5">
        <f>PortfolioData[[#This Row],[Adjusted_Debt_Outstanding]]*(PortfolioData[[#This Row],[Interest_Rate]]/100)</f>
        <v>469562.04899999994</v>
      </c>
      <c r="S105" s="5">
        <f>MIN(PortfolioData[[#This Row],[Debt_Outstanding]], PortfolioData[[#This Row],[Current_Value]]*0.8)</f>
        <v>9207099</v>
      </c>
      <c r="T105" s="5">
        <f>PortfolioData[[#This Row],[Net Operating Income (NOI)]]/PortfolioData[[#This Row],[Annual_Debt_Service]]</f>
        <v>3.2532250066912884</v>
      </c>
      <c r="U105" s="5">
        <f>PortfolioData[[#This Row],[Net Operating Income (NOI)]]-PortfolioData[[#This Row],[Annual_Debt_Service]]</f>
        <v>1058028.9510000001</v>
      </c>
      <c r="V105" s="5">
        <f>PortfolioData[[#This Row],[Net Operating Income (NOI)]]</f>
        <v>1527591</v>
      </c>
      <c r="W105" s="3">
        <f>PortfolioData[[#This Row],[Gross_Rental_Income]] / PortfolioData[[#This Row],[Purchase_Price]]</f>
        <v>0.18377456423517899</v>
      </c>
      <c r="X105" s="3">
        <f>PortfolioData[[#This Row],[Net Operating Income (NOI)]]/PortfolioData[[#This Row],[Current_Value]]</f>
        <v>8.2430019075420302E-2</v>
      </c>
      <c r="Y105" s="3">
        <f>(PortfolioData[[#This Row],[Current_Value]]-PortfolioData[[#This Row],[Purchase_Price]]+PortfolioData[[#This Row],[Net Operating Income (NOI)]]) / PortfolioData[[#This Row],[Purchase_Price]]</f>
        <v>0.33242174227283255</v>
      </c>
      <c r="Z105" s="5">
        <f>_xlfn.PERCENTRANK.INC(PortfolioData[ROI],PortfolioData[[#This Row],[ROI]])</f>
        <v>0.74399999999999999</v>
      </c>
      <c r="AA105" s="3" t="str">
        <f>IF(PortfolioData[[#This Row],[ROI_Percentile]]&lt;=0.1,"Underperforming","Healthy")</f>
        <v>Healthy</v>
      </c>
      <c r="AB105" s="3">
        <f>PortfolioData[[#This Row],[Debt_Outstanding]]/PortfolioData[[#This Row],[Current_Value]]</f>
        <v>0.49682234721157903</v>
      </c>
      <c r="AC105">
        <f>PortfolioData[[#This Row],[Units]]*PortfolioData[[#This Row],[Avg_Rent_per_Unit]]*12</f>
        <v>2817024</v>
      </c>
      <c r="AD105" s="13">
        <f>PortfolioData[[#This Row],[Potential_Revenue]]-PortfolioData[[#This Row],[Gross_Rental_Income]]</f>
        <v>50304</v>
      </c>
      <c r="AE105" s="3">
        <f>IFERROR(PortfolioData[[#This Row],[Vacancy_Loss]]/PortfolioData[[#This Row],[Potential_Revenue]],0)</f>
        <v>1.7857142857142856E-2</v>
      </c>
      <c r="AF105" s="17">
        <f xml:space="preserve"> (PortfolioData[[#This Row],[Vacancy_%]] * 0.4) + (PortfolioData[[#This Row],[Debt_Ratio]] * 0.3) + (PortfolioData[[#This Row],[Interest_Rate]]/100 * 0.3)</f>
        <v>0.17148956130633089</v>
      </c>
    </row>
    <row r="106" spans="1:32" x14ac:dyDescent="0.3">
      <c r="A106" t="s">
        <v>98</v>
      </c>
      <c r="B106" t="s">
        <v>19</v>
      </c>
      <c r="C106" t="s">
        <v>23</v>
      </c>
      <c r="D106">
        <v>2018</v>
      </c>
      <c r="E106">
        <v>19822085</v>
      </c>
      <c r="F106">
        <v>20324700.440000001</v>
      </c>
      <c r="G106">
        <v>10</v>
      </c>
      <c r="H106">
        <v>7</v>
      </c>
      <c r="I106">
        <v>1967</v>
      </c>
      <c r="J106">
        <v>798480</v>
      </c>
      <c r="K106">
        <v>281929</v>
      </c>
      <c r="L106">
        <v>2229400</v>
      </c>
      <c r="M106">
        <v>5.51</v>
      </c>
      <c r="N106" t="s">
        <v>24</v>
      </c>
      <c r="O106" s="5">
        <f>PortfolioData[[#This Row],[Occupied_Units]]*PortfolioData[[#This Row],[Avg_Rent_per_Unit]]*12</f>
        <v>165228</v>
      </c>
      <c r="P106" s="3">
        <f>1-(PortfolioData[[#This Row],[Occupied_Units]]/PortfolioData[[#This Row],[Units]])</f>
        <v>0.30000000000000004</v>
      </c>
      <c r="Q106" s="5">
        <f>PortfolioData[[#This Row],[Gross_Rental_Income]] - PortfolioData[[#This Row],[Operating_Cost]] - PortfolioData[[#This Row],[Maintenance_Cost]]</f>
        <v>-915181</v>
      </c>
      <c r="R106" s="5">
        <f>PortfolioData[[#This Row],[Adjusted_Debt_Outstanding]]*(PortfolioData[[#This Row],[Interest_Rate]]/100)</f>
        <v>122839.93999999999</v>
      </c>
      <c r="S106" s="5">
        <f>MIN(PortfolioData[[#This Row],[Debt_Outstanding]], PortfolioData[[#This Row],[Current_Value]]*0.8)</f>
        <v>2229400</v>
      </c>
      <c r="T106" s="5">
        <f>PortfolioData[[#This Row],[Net Operating Income (NOI)]]/PortfolioData[[#This Row],[Annual_Debt_Service]]</f>
        <v>-7.4501908744012741</v>
      </c>
      <c r="U106" s="5">
        <f>PortfolioData[[#This Row],[Net Operating Income (NOI)]]-PortfolioData[[#This Row],[Annual_Debt_Service]]</f>
        <v>-1038020.94</v>
      </c>
      <c r="V106" s="5">
        <f>PortfolioData[[#This Row],[Net Operating Income (NOI)]]</f>
        <v>-915181</v>
      </c>
      <c r="W106" s="3">
        <f>PortfolioData[[#This Row],[Gross_Rental_Income]] / PortfolioData[[#This Row],[Purchase_Price]]</f>
        <v>8.3355509776090655E-3</v>
      </c>
      <c r="X106" s="3">
        <f>PortfolioData[[#This Row],[Net Operating Income (NOI)]]/PortfolioData[[#This Row],[Current_Value]]</f>
        <v>-4.5028019118986823E-2</v>
      </c>
      <c r="Y106" s="3">
        <f>(PortfolioData[[#This Row],[Current_Value]]-PortfolioData[[#This Row],[Purchase_Price]]+PortfolioData[[#This Row],[Net Operating Income (NOI)]]) / PortfolioData[[#This Row],[Purchase_Price]]</f>
        <v>-2.0813429061574434E-2</v>
      </c>
      <c r="Z106" s="5">
        <f>_xlfn.PERCENTRANK.INC(PortfolioData[ROI],PortfolioData[[#This Row],[ROI]])</f>
        <v>0.13400000000000001</v>
      </c>
      <c r="AA106" s="3" t="str">
        <f>IF(PortfolioData[[#This Row],[ROI_Percentile]]&lt;=0.1,"Underperforming","Healthy")</f>
        <v>Healthy</v>
      </c>
      <c r="AB106" s="3">
        <f>PortfolioData[[#This Row],[Debt_Outstanding]]/PortfolioData[[#This Row],[Current_Value]]</f>
        <v>0.10968919352988013</v>
      </c>
      <c r="AC106">
        <f>PortfolioData[[#This Row],[Units]]*PortfolioData[[#This Row],[Avg_Rent_per_Unit]]*12</f>
        <v>236040</v>
      </c>
      <c r="AD106" s="13">
        <f>PortfolioData[[#This Row],[Potential_Revenue]]-PortfolioData[[#This Row],[Gross_Rental_Income]]</f>
        <v>70812</v>
      </c>
      <c r="AE106" s="3">
        <f>IFERROR(PortfolioData[[#This Row],[Vacancy_Loss]]/PortfolioData[[#This Row],[Potential_Revenue]],0)</f>
        <v>0.3</v>
      </c>
      <c r="AF106" s="17">
        <f xml:space="preserve"> (PortfolioData[[#This Row],[Vacancy_%]] * 0.4) + (PortfolioData[[#This Row],[Debt_Ratio]] * 0.3) + (PortfolioData[[#This Row],[Interest_Rate]]/100 * 0.3)</f>
        <v>0.16943675805896405</v>
      </c>
    </row>
    <row r="107" spans="1:32" x14ac:dyDescent="0.3">
      <c r="A107" t="s">
        <v>161</v>
      </c>
      <c r="B107" t="s">
        <v>27</v>
      </c>
      <c r="C107" t="s">
        <v>20</v>
      </c>
      <c r="D107">
        <v>2022</v>
      </c>
      <c r="E107">
        <v>18957046</v>
      </c>
      <c r="F107">
        <v>24321779.57</v>
      </c>
      <c r="G107">
        <v>63</v>
      </c>
      <c r="H107">
        <v>55</v>
      </c>
      <c r="I107">
        <v>5991</v>
      </c>
      <c r="J107">
        <v>703551</v>
      </c>
      <c r="K107">
        <v>383162</v>
      </c>
      <c r="L107">
        <v>8606141</v>
      </c>
      <c r="M107">
        <v>3.61</v>
      </c>
      <c r="N107" t="s">
        <v>17</v>
      </c>
      <c r="O107" s="5">
        <f>PortfolioData[[#This Row],[Occupied_Units]]*PortfolioData[[#This Row],[Avg_Rent_per_Unit]]*12</f>
        <v>3954060</v>
      </c>
      <c r="P107" s="3">
        <f>1-(PortfolioData[[#This Row],[Occupied_Units]]/PortfolioData[[#This Row],[Units]])</f>
        <v>0.12698412698412698</v>
      </c>
      <c r="Q107" s="5">
        <f>PortfolioData[[#This Row],[Gross_Rental_Income]] - PortfolioData[[#This Row],[Operating_Cost]] - PortfolioData[[#This Row],[Maintenance_Cost]]</f>
        <v>2867347</v>
      </c>
      <c r="R107" s="5">
        <f>PortfolioData[[#This Row],[Adjusted_Debt_Outstanding]]*(PortfolioData[[#This Row],[Interest_Rate]]/100)</f>
        <v>310681.69010000001</v>
      </c>
      <c r="S107" s="5">
        <f>MIN(PortfolioData[[#This Row],[Debt_Outstanding]], PortfolioData[[#This Row],[Current_Value]]*0.8)</f>
        <v>8606141</v>
      </c>
      <c r="T107" s="5">
        <f>PortfolioData[[#This Row],[Net Operating Income (NOI)]]/PortfolioData[[#This Row],[Annual_Debt_Service]]</f>
        <v>9.229211412739124</v>
      </c>
      <c r="U107" s="5">
        <f>PortfolioData[[#This Row],[Net Operating Income (NOI)]]-PortfolioData[[#This Row],[Annual_Debt_Service]]</f>
        <v>2556665.3098999998</v>
      </c>
      <c r="V107" s="5">
        <f>PortfolioData[[#This Row],[Net Operating Income (NOI)]]</f>
        <v>2867347</v>
      </c>
      <c r="W107" s="3">
        <f>PortfolioData[[#This Row],[Gross_Rental_Income]] / PortfolioData[[#This Row],[Purchase_Price]]</f>
        <v>0.20857996546508353</v>
      </c>
      <c r="X107" s="3">
        <f>PortfolioData[[#This Row],[Net Operating Income (NOI)]]/PortfolioData[[#This Row],[Current_Value]]</f>
        <v>0.11789215471456557</v>
      </c>
      <c r="Y107" s="3">
        <f>(PortfolioData[[#This Row],[Current_Value]]-PortfolioData[[#This Row],[Purchase_Price]]+PortfolioData[[#This Row],[Net Operating Income (NOI)]]) / PortfolioData[[#This Row],[Purchase_Price]]</f>
        <v>0.4342491214084726</v>
      </c>
      <c r="Z107" s="5">
        <f>_xlfn.PERCENTRANK.INC(PortfolioData[ROI],PortfolioData[[#This Row],[ROI]])</f>
        <v>0.89900000000000002</v>
      </c>
      <c r="AA107" s="3" t="str">
        <f>IF(PortfolioData[[#This Row],[ROI_Percentile]]&lt;=0.1,"Underperforming","Healthy")</f>
        <v>Healthy</v>
      </c>
      <c r="AB107" s="3">
        <f>PortfolioData[[#This Row],[Debt_Outstanding]]/PortfolioData[[#This Row],[Current_Value]]</f>
        <v>0.35384503733498807</v>
      </c>
      <c r="AC107">
        <f>PortfolioData[[#This Row],[Units]]*PortfolioData[[#This Row],[Avg_Rent_per_Unit]]*12</f>
        <v>4529196</v>
      </c>
      <c r="AD107" s="13">
        <f>PortfolioData[[#This Row],[Potential_Revenue]]-PortfolioData[[#This Row],[Gross_Rental_Income]]</f>
        <v>575136</v>
      </c>
      <c r="AE107" s="3">
        <f>IFERROR(PortfolioData[[#This Row],[Vacancy_Loss]]/PortfolioData[[#This Row],[Potential_Revenue]],0)</f>
        <v>0.12698412698412698</v>
      </c>
      <c r="AF107" s="17">
        <f xml:space="preserve"> (PortfolioData[[#This Row],[Vacancy_%]] * 0.4) + (PortfolioData[[#This Row],[Debt_Ratio]] * 0.3) + (PortfolioData[[#This Row],[Interest_Rate]]/100 * 0.3)</f>
        <v>0.16777716199414722</v>
      </c>
    </row>
    <row r="108" spans="1:32" x14ac:dyDescent="0.3">
      <c r="A108" t="s">
        <v>21</v>
      </c>
      <c r="B108" t="s">
        <v>22</v>
      </c>
      <c r="C108" t="s">
        <v>23</v>
      </c>
      <c r="D108">
        <v>2021</v>
      </c>
      <c r="E108">
        <v>9065042</v>
      </c>
      <c r="F108">
        <v>9012894.9299999997</v>
      </c>
      <c r="G108">
        <v>16</v>
      </c>
      <c r="H108">
        <v>15</v>
      </c>
      <c r="I108">
        <v>1987</v>
      </c>
      <c r="J108">
        <v>605985</v>
      </c>
      <c r="K108">
        <v>265835</v>
      </c>
      <c r="L108">
        <v>3657895</v>
      </c>
      <c r="M108">
        <v>6.18</v>
      </c>
      <c r="N108" t="s">
        <v>24</v>
      </c>
      <c r="O108" s="5">
        <f>PortfolioData[[#This Row],[Occupied_Units]]*PortfolioData[[#This Row],[Avg_Rent_per_Unit]]*12</f>
        <v>357660</v>
      </c>
      <c r="P108" s="3">
        <f>1-(PortfolioData[[#This Row],[Occupied_Units]]/PortfolioData[[#This Row],[Units]])</f>
        <v>6.25E-2</v>
      </c>
      <c r="Q108" s="5">
        <f>PortfolioData[[#This Row],[Gross_Rental_Income]] - PortfolioData[[#This Row],[Operating_Cost]] - PortfolioData[[#This Row],[Maintenance_Cost]]</f>
        <v>-514160</v>
      </c>
      <c r="R108" s="5">
        <f>PortfolioData[[#This Row],[Adjusted_Debt_Outstanding]]*(PortfolioData[[#This Row],[Interest_Rate]]/100)</f>
        <v>226057.91099999996</v>
      </c>
      <c r="S108" s="5">
        <f>MIN(PortfolioData[[#This Row],[Debt_Outstanding]], PortfolioData[[#This Row],[Current_Value]]*0.8)</f>
        <v>3657895</v>
      </c>
      <c r="T108" s="5">
        <f>PortfolioData[[#This Row],[Net Operating Income (NOI)]]/PortfolioData[[#This Row],[Annual_Debt_Service]]</f>
        <v>-2.2744614321416075</v>
      </c>
      <c r="U108" s="5">
        <f>PortfolioData[[#This Row],[Net Operating Income (NOI)]]-PortfolioData[[#This Row],[Annual_Debt_Service]]</f>
        <v>-740217.91099999996</v>
      </c>
      <c r="V108" s="5">
        <f>PortfolioData[[#This Row],[Net Operating Income (NOI)]]</f>
        <v>-514160</v>
      </c>
      <c r="W108" s="3">
        <f>PortfolioData[[#This Row],[Gross_Rental_Income]] / PortfolioData[[#This Row],[Purchase_Price]]</f>
        <v>3.9454864081159252E-2</v>
      </c>
      <c r="X108" s="3">
        <f>PortfolioData[[#This Row],[Net Operating Income (NOI)]]/PortfolioData[[#This Row],[Current_Value]]</f>
        <v>-5.7047153438856302E-2</v>
      </c>
      <c r="Y108" s="3">
        <f>(PortfolioData[[#This Row],[Current_Value]]-PortfolioData[[#This Row],[Purchase_Price]]+PortfolioData[[#This Row],[Net Operating Income (NOI)]]) / PortfolioData[[#This Row],[Purchase_Price]]</f>
        <v>-6.2471532950426518E-2</v>
      </c>
      <c r="Z108" s="5">
        <f>_xlfn.PERCENTRANK.INC(PortfolioData[ROI],PortfolioData[[#This Row],[ROI]])</f>
        <v>5.2999999999999999E-2</v>
      </c>
      <c r="AA108" s="3" t="str">
        <f>IF(PortfolioData[[#This Row],[ROI_Percentile]]&lt;=0.1,"Underperforming","Healthy")</f>
        <v>Underperforming</v>
      </c>
      <c r="AB108" s="3">
        <f>PortfolioData[[#This Row],[Debt_Outstanding]]/PortfolioData[[#This Row],[Current_Value]]</f>
        <v>0.40585128623040545</v>
      </c>
      <c r="AC108">
        <f>PortfolioData[[#This Row],[Units]]*PortfolioData[[#This Row],[Avg_Rent_per_Unit]]*12</f>
        <v>381504</v>
      </c>
      <c r="AD108" s="13">
        <f>PortfolioData[[#This Row],[Potential_Revenue]]-PortfolioData[[#This Row],[Gross_Rental_Income]]</f>
        <v>23844</v>
      </c>
      <c r="AE108" s="3">
        <f>IFERROR(PortfolioData[[#This Row],[Vacancy_Loss]]/PortfolioData[[#This Row],[Potential_Revenue]],0)</f>
        <v>6.25E-2</v>
      </c>
      <c r="AF108" s="17">
        <f xml:space="preserve"> (PortfolioData[[#This Row],[Vacancy_%]] * 0.4) + (PortfolioData[[#This Row],[Debt_Ratio]] * 0.3) + (PortfolioData[[#This Row],[Interest_Rate]]/100 * 0.3)</f>
        <v>0.16529538586912162</v>
      </c>
    </row>
    <row r="109" spans="1:32" x14ac:dyDescent="0.3">
      <c r="A109" t="s">
        <v>28</v>
      </c>
      <c r="B109" t="s">
        <v>27</v>
      </c>
      <c r="C109" t="s">
        <v>23</v>
      </c>
      <c r="D109">
        <v>2014</v>
      </c>
      <c r="E109">
        <v>16179222</v>
      </c>
      <c r="F109">
        <v>16476926.289999999</v>
      </c>
      <c r="G109">
        <v>28</v>
      </c>
      <c r="H109">
        <v>28</v>
      </c>
      <c r="I109">
        <v>3291</v>
      </c>
      <c r="J109">
        <v>320314</v>
      </c>
      <c r="K109">
        <v>159622</v>
      </c>
      <c r="L109">
        <v>8335640</v>
      </c>
      <c r="M109">
        <v>4.28</v>
      </c>
      <c r="N109" t="s">
        <v>17</v>
      </c>
      <c r="O109" s="5">
        <f>PortfolioData[[#This Row],[Occupied_Units]]*PortfolioData[[#This Row],[Avg_Rent_per_Unit]]*12</f>
        <v>1105776</v>
      </c>
      <c r="P109" s="3">
        <f>1-(PortfolioData[[#This Row],[Occupied_Units]]/PortfolioData[[#This Row],[Units]])</f>
        <v>0</v>
      </c>
      <c r="Q109" s="5">
        <f>PortfolioData[[#This Row],[Gross_Rental_Income]] - PortfolioData[[#This Row],[Operating_Cost]] - PortfolioData[[#This Row],[Maintenance_Cost]]</f>
        <v>625840</v>
      </c>
      <c r="R109" s="5">
        <f>PortfolioData[[#This Row],[Adjusted_Debt_Outstanding]]*(PortfolioData[[#This Row],[Interest_Rate]]/100)</f>
        <v>356765.39200000005</v>
      </c>
      <c r="S109" s="5">
        <f>MIN(PortfolioData[[#This Row],[Debt_Outstanding]], PortfolioData[[#This Row],[Current_Value]]*0.8)</f>
        <v>8335640</v>
      </c>
      <c r="T109" s="5">
        <f>PortfolioData[[#This Row],[Net Operating Income (NOI)]]/PortfolioData[[#This Row],[Annual_Debt_Service]]</f>
        <v>1.7542060245574489</v>
      </c>
      <c r="U109" s="5">
        <f>PortfolioData[[#This Row],[Net Operating Income (NOI)]]-PortfolioData[[#This Row],[Annual_Debt_Service]]</f>
        <v>269074.60799999995</v>
      </c>
      <c r="V109" s="5">
        <f>PortfolioData[[#This Row],[Net Operating Income (NOI)]]</f>
        <v>625840</v>
      </c>
      <c r="W109" s="3">
        <f>PortfolioData[[#This Row],[Gross_Rental_Income]] / PortfolioData[[#This Row],[Purchase_Price]]</f>
        <v>6.8345437129177164E-2</v>
      </c>
      <c r="X109" s="3">
        <f>PortfolioData[[#This Row],[Net Operating Income (NOI)]]/PortfolioData[[#This Row],[Current_Value]]</f>
        <v>3.798281238775876E-2</v>
      </c>
      <c r="Y109" s="3">
        <f>(PortfolioData[[#This Row],[Current_Value]]-PortfolioData[[#This Row],[Purchase_Price]]+PortfolioData[[#This Row],[Net Operating Income (NOI)]]) / PortfolioData[[#This Row],[Purchase_Price]]</f>
        <v>5.708211989426927E-2</v>
      </c>
      <c r="Z109" s="5">
        <f>_xlfn.PERCENTRANK.INC(PortfolioData[ROI],PortfolioData[[#This Row],[ROI]])</f>
        <v>0.23400000000000001</v>
      </c>
      <c r="AA109" s="3" t="str">
        <f>IF(PortfolioData[[#This Row],[ROI_Percentile]]&lt;=0.1,"Underperforming","Healthy")</f>
        <v>Healthy</v>
      </c>
      <c r="AB109" s="3">
        <f>PortfolioData[[#This Row],[Debt_Outstanding]]/PortfolioData[[#This Row],[Current_Value]]</f>
        <v>0.50589775382189928</v>
      </c>
      <c r="AC109">
        <f>PortfolioData[[#This Row],[Units]]*PortfolioData[[#This Row],[Avg_Rent_per_Unit]]*12</f>
        <v>1105776</v>
      </c>
      <c r="AD109" s="13">
        <f>PortfolioData[[#This Row],[Potential_Revenue]]-PortfolioData[[#This Row],[Gross_Rental_Income]]</f>
        <v>0</v>
      </c>
      <c r="AE109" s="3">
        <f>IFERROR(PortfolioData[[#This Row],[Vacancy_Loss]]/PortfolioData[[#This Row],[Potential_Revenue]],0)</f>
        <v>0</v>
      </c>
      <c r="AF109" s="17">
        <f xml:space="preserve"> (PortfolioData[[#This Row],[Vacancy_%]] * 0.4) + (PortfolioData[[#This Row],[Debt_Ratio]] * 0.3) + (PortfolioData[[#This Row],[Interest_Rate]]/100 * 0.3)</f>
        <v>0.16460932614656976</v>
      </c>
    </row>
    <row r="110" spans="1:32" x14ac:dyDescent="0.3">
      <c r="A110" t="s">
        <v>18</v>
      </c>
      <c r="B110" t="s">
        <v>19</v>
      </c>
      <c r="C110" t="s">
        <v>20</v>
      </c>
      <c r="D110">
        <v>2015</v>
      </c>
      <c r="E110">
        <v>24878928</v>
      </c>
      <c r="F110">
        <v>24646591.379999999</v>
      </c>
      <c r="G110">
        <v>26</v>
      </c>
      <c r="H110">
        <v>18</v>
      </c>
      <c r="I110">
        <v>1640</v>
      </c>
      <c r="J110">
        <v>344547</v>
      </c>
      <c r="K110">
        <v>121867</v>
      </c>
      <c r="L110">
        <v>2511407</v>
      </c>
      <c r="M110">
        <v>3.6</v>
      </c>
      <c r="N110" t="s">
        <v>17</v>
      </c>
      <c r="O110" s="5">
        <f>PortfolioData[[#This Row],[Occupied_Units]]*PortfolioData[[#This Row],[Avg_Rent_per_Unit]]*12</f>
        <v>354240</v>
      </c>
      <c r="P110" s="3">
        <f>1-(PortfolioData[[#This Row],[Occupied_Units]]/PortfolioData[[#This Row],[Units]])</f>
        <v>0.30769230769230771</v>
      </c>
      <c r="Q110" s="5">
        <f>PortfolioData[[#This Row],[Gross_Rental_Income]] - PortfolioData[[#This Row],[Operating_Cost]] - PortfolioData[[#This Row],[Maintenance_Cost]]</f>
        <v>-112174</v>
      </c>
      <c r="R110" s="5">
        <f>PortfolioData[[#This Row],[Adjusted_Debt_Outstanding]]*(PortfolioData[[#This Row],[Interest_Rate]]/100)</f>
        <v>90410.652000000016</v>
      </c>
      <c r="S110" s="5">
        <f>MIN(PortfolioData[[#This Row],[Debt_Outstanding]], PortfolioData[[#This Row],[Current_Value]]*0.8)</f>
        <v>2511407</v>
      </c>
      <c r="T110" s="5">
        <f>PortfolioData[[#This Row],[Net Operating Income (NOI)]]/PortfolioData[[#This Row],[Annual_Debt_Service]]</f>
        <v>-1.2407166359114408</v>
      </c>
      <c r="U110" s="5">
        <f>PortfolioData[[#This Row],[Net Operating Income (NOI)]]-PortfolioData[[#This Row],[Annual_Debt_Service]]</f>
        <v>-202584.652</v>
      </c>
      <c r="V110" s="5">
        <f>PortfolioData[[#This Row],[Net Operating Income (NOI)]]</f>
        <v>-112174</v>
      </c>
      <c r="W110" s="3">
        <f>PortfolioData[[#This Row],[Gross_Rental_Income]] / PortfolioData[[#This Row],[Purchase_Price]]</f>
        <v>1.4238555616222693E-2</v>
      </c>
      <c r="X110" s="3">
        <f>PortfolioData[[#This Row],[Net Operating Income (NOI)]]/PortfolioData[[#This Row],[Current_Value]]</f>
        <v>-4.5512987281083415E-3</v>
      </c>
      <c r="Y110" s="3">
        <f>(PortfolioData[[#This Row],[Current_Value]]-PortfolioData[[#This Row],[Purchase_Price]]+PortfolioData[[#This Row],[Net Operating Income (NOI)]]) / PortfolioData[[#This Row],[Purchase_Price]]</f>
        <v>-1.3847486515496207E-2</v>
      </c>
      <c r="Z110" s="5">
        <f>_xlfn.PERCENTRANK.INC(PortfolioData[ROI],PortfolioData[[#This Row],[ROI]])</f>
        <v>0.14000000000000001</v>
      </c>
      <c r="AA110" s="3" t="str">
        <f>IF(PortfolioData[[#This Row],[ROI_Percentile]]&lt;=0.1,"Underperforming","Healthy")</f>
        <v>Healthy</v>
      </c>
      <c r="AB110" s="3">
        <f>PortfolioData[[#This Row],[Debt_Outstanding]]/PortfolioData[[#This Row],[Current_Value]]</f>
        <v>0.10189672727069005</v>
      </c>
      <c r="AC110">
        <f>PortfolioData[[#This Row],[Units]]*PortfolioData[[#This Row],[Avg_Rent_per_Unit]]*12</f>
        <v>511680</v>
      </c>
      <c r="AD110" s="13">
        <f>PortfolioData[[#This Row],[Potential_Revenue]]-PortfolioData[[#This Row],[Gross_Rental_Income]]</f>
        <v>157440</v>
      </c>
      <c r="AE110" s="3">
        <f>IFERROR(PortfolioData[[#This Row],[Vacancy_Loss]]/PortfolioData[[#This Row],[Potential_Revenue]],0)</f>
        <v>0.30769230769230771</v>
      </c>
      <c r="AF110" s="17">
        <f xml:space="preserve"> (PortfolioData[[#This Row],[Vacancy_%]] * 0.4) + (PortfolioData[[#This Row],[Debt_Ratio]] * 0.3) + (PortfolioData[[#This Row],[Interest_Rate]]/100 * 0.3)</f>
        <v>0.16444594125813009</v>
      </c>
    </row>
    <row r="111" spans="1:32" x14ac:dyDescent="0.3">
      <c r="A111" t="s">
        <v>68</v>
      </c>
      <c r="B111" t="s">
        <v>15</v>
      </c>
      <c r="C111" t="s">
        <v>16</v>
      </c>
      <c r="D111">
        <v>2017</v>
      </c>
      <c r="E111">
        <v>22726540</v>
      </c>
      <c r="F111">
        <v>23037762.039999999</v>
      </c>
      <c r="G111">
        <v>51</v>
      </c>
      <c r="H111">
        <v>43</v>
      </c>
      <c r="I111">
        <v>2688</v>
      </c>
      <c r="J111">
        <v>885597</v>
      </c>
      <c r="K111">
        <v>234603</v>
      </c>
      <c r="L111">
        <v>6415538</v>
      </c>
      <c r="M111">
        <v>5.79</v>
      </c>
      <c r="N111" t="s">
        <v>24</v>
      </c>
      <c r="O111" s="5">
        <f>PortfolioData[[#This Row],[Occupied_Units]]*PortfolioData[[#This Row],[Avg_Rent_per_Unit]]*12</f>
        <v>1387008</v>
      </c>
      <c r="P111" s="3">
        <f>1-(PortfolioData[[#This Row],[Occupied_Units]]/PortfolioData[[#This Row],[Units]])</f>
        <v>0.15686274509803921</v>
      </c>
      <c r="Q111" s="5">
        <f>PortfolioData[[#This Row],[Gross_Rental_Income]] - PortfolioData[[#This Row],[Operating_Cost]] - PortfolioData[[#This Row],[Maintenance_Cost]]</f>
        <v>266808</v>
      </c>
      <c r="R111" s="5">
        <f>PortfolioData[[#This Row],[Adjusted_Debt_Outstanding]]*(PortfolioData[[#This Row],[Interest_Rate]]/100)</f>
        <v>371459.65019999997</v>
      </c>
      <c r="S111" s="5">
        <f>MIN(PortfolioData[[#This Row],[Debt_Outstanding]], PortfolioData[[#This Row],[Current_Value]]*0.8)</f>
        <v>6415538</v>
      </c>
      <c r="T111" s="5">
        <f>PortfolioData[[#This Row],[Net Operating Income (NOI)]]/PortfolioData[[#This Row],[Annual_Debt_Service]]</f>
        <v>0.71826913059425479</v>
      </c>
      <c r="U111" s="5">
        <f>PortfolioData[[#This Row],[Net Operating Income (NOI)]]-PortfolioData[[#This Row],[Annual_Debt_Service]]</f>
        <v>-104651.65019999997</v>
      </c>
      <c r="V111" s="5">
        <f>PortfolioData[[#This Row],[Net Operating Income (NOI)]]</f>
        <v>266808</v>
      </c>
      <c r="W111" s="3">
        <f>PortfolioData[[#This Row],[Gross_Rental_Income]] / PortfolioData[[#This Row],[Purchase_Price]]</f>
        <v>6.1030319617504471E-2</v>
      </c>
      <c r="X111" s="3">
        <f>PortfolioData[[#This Row],[Net Operating Income (NOI)]]/PortfolioData[[#This Row],[Current_Value]]</f>
        <v>1.1581333270859672E-2</v>
      </c>
      <c r="Y111" s="3">
        <f>(PortfolioData[[#This Row],[Current_Value]]-PortfolioData[[#This Row],[Purchase_Price]]+PortfolioData[[#This Row],[Net Operating Income (NOI)]]) / PortfolioData[[#This Row],[Purchase_Price]]</f>
        <v>2.5434141756730196E-2</v>
      </c>
      <c r="Z111" s="5">
        <f>_xlfn.PERCENTRANK.INC(PortfolioData[ROI],PortfolioData[[#This Row],[ROI]])</f>
        <v>0.19400000000000001</v>
      </c>
      <c r="AA111" s="3" t="str">
        <f>IF(PortfolioData[[#This Row],[ROI_Percentile]]&lt;=0.1,"Underperforming","Healthy")</f>
        <v>Healthy</v>
      </c>
      <c r="AB111" s="3">
        <f>PortfolioData[[#This Row],[Debt_Outstanding]]/PortfolioData[[#This Row],[Current_Value]]</f>
        <v>0.27847921985047119</v>
      </c>
      <c r="AC111">
        <f>PortfolioData[[#This Row],[Units]]*PortfolioData[[#This Row],[Avg_Rent_per_Unit]]*12</f>
        <v>1645056</v>
      </c>
      <c r="AD111" s="13">
        <f>PortfolioData[[#This Row],[Potential_Revenue]]-PortfolioData[[#This Row],[Gross_Rental_Income]]</f>
        <v>258048</v>
      </c>
      <c r="AE111" s="3">
        <f>IFERROR(PortfolioData[[#This Row],[Vacancy_Loss]]/PortfolioData[[#This Row],[Potential_Revenue]],0)</f>
        <v>0.15686274509803921</v>
      </c>
      <c r="AF111" s="17">
        <f xml:space="preserve"> (PortfolioData[[#This Row],[Vacancy_%]] * 0.4) + (PortfolioData[[#This Row],[Debt_Ratio]] * 0.3) + (PortfolioData[[#This Row],[Interest_Rate]]/100 * 0.3)</f>
        <v>0.16365886399435703</v>
      </c>
    </row>
    <row r="112" spans="1:32" x14ac:dyDescent="0.3">
      <c r="A112" t="s">
        <v>80</v>
      </c>
      <c r="B112" t="s">
        <v>35</v>
      </c>
      <c r="C112" t="s">
        <v>23</v>
      </c>
      <c r="D112">
        <v>2011</v>
      </c>
      <c r="E112">
        <v>5263087</v>
      </c>
      <c r="F112">
        <v>6270091.5300000003</v>
      </c>
      <c r="G112">
        <v>17</v>
      </c>
      <c r="H112">
        <v>17</v>
      </c>
      <c r="I112">
        <v>4901</v>
      </c>
      <c r="J112">
        <v>579082</v>
      </c>
      <c r="K112">
        <v>466286</v>
      </c>
      <c r="L112">
        <v>2968560</v>
      </c>
      <c r="M112">
        <v>6.9</v>
      </c>
      <c r="N112" t="s">
        <v>24</v>
      </c>
      <c r="O112" s="5">
        <f>PortfolioData[[#This Row],[Occupied_Units]]*PortfolioData[[#This Row],[Avg_Rent_per_Unit]]*12</f>
        <v>999804</v>
      </c>
      <c r="P112" s="3">
        <f>1-(PortfolioData[[#This Row],[Occupied_Units]]/PortfolioData[[#This Row],[Units]])</f>
        <v>0</v>
      </c>
      <c r="Q112" s="5">
        <f>PortfolioData[[#This Row],[Gross_Rental_Income]] - PortfolioData[[#This Row],[Operating_Cost]] - PortfolioData[[#This Row],[Maintenance_Cost]]</f>
        <v>-45564</v>
      </c>
      <c r="R112" s="5">
        <f>PortfolioData[[#This Row],[Adjusted_Debt_Outstanding]]*(PortfolioData[[#This Row],[Interest_Rate]]/100)</f>
        <v>204830.64</v>
      </c>
      <c r="S112" s="5">
        <f>MIN(PortfolioData[[#This Row],[Debt_Outstanding]], PortfolioData[[#This Row],[Current_Value]]*0.8)</f>
        <v>2968560</v>
      </c>
      <c r="T112" s="5">
        <f>PortfolioData[[#This Row],[Net Operating Income (NOI)]]/PortfolioData[[#This Row],[Annual_Debt_Service]]</f>
        <v>-0.22244718856514825</v>
      </c>
      <c r="U112" s="5">
        <f>PortfolioData[[#This Row],[Net Operating Income (NOI)]]-PortfolioData[[#This Row],[Annual_Debt_Service]]</f>
        <v>-250394.64</v>
      </c>
      <c r="V112" s="5">
        <f>PortfolioData[[#This Row],[Net Operating Income (NOI)]]</f>
        <v>-45564</v>
      </c>
      <c r="W112" s="3">
        <f>PortfolioData[[#This Row],[Gross_Rental_Income]] / PortfolioData[[#This Row],[Purchase_Price]]</f>
        <v>0.18996531883284468</v>
      </c>
      <c r="X112" s="3">
        <f>PortfolioData[[#This Row],[Net Operating Income (NOI)]]/PortfolioData[[#This Row],[Current_Value]]</f>
        <v>-7.266879563399292E-3</v>
      </c>
      <c r="Y112" s="3">
        <f>(PortfolioData[[#This Row],[Current_Value]]-PortfolioData[[#This Row],[Purchase_Price]]+PortfolioData[[#This Row],[Net Operating Income (NOI)]]) / PortfolioData[[#This Row],[Purchase_Price]]</f>
        <v>0.18267616134789341</v>
      </c>
      <c r="Z112" s="5">
        <f>_xlfn.PERCENTRANK.INC(PortfolioData[ROI],PortfolioData[[#This Row],[ROI]])</f>
        <v>0.442</v>
      </c>
      <c r="AA112" s="3" t="str">
        <f>IF(PortfolioData[[#This Row],[ROI_Percentile]]&lt;=0.1,"Underperforming","Healthy")</f>
        <v>Healthy</v>
      </c>
      <c r="AB112" s="3">
        <f>PortfolioData[[#This Row],[Debt_Outstanding]]/PortfolioData[[#This Row],[Current_Value]]</f>
        <v>0.47344763402520856</v>
      </c>
      <c r="AC112">
        <f>PortfolioData[[#This Row],[Units]]*PortfolioData[[#This Row],[Avg_Rent_per_Unit]]*12</f>
        <v>999804</v>
      </c>
      <c r="AD112" s="13">
        <f>PortfolioData[[#This Row],[Potential_Revenue]]-PortfolioData[[#This Row],[Gross_Rental_Income]]</f>
        <v>0</v>
      </c>
      <c r="AE112" s="3">
        <f>IFERROR(PortfolioData[[#This Row],[Vacancy_Loss]]/PortfolioData[[#This Row],[Potential_Revenue]],0)</f>
        <v>0</v>
      </c>
      <c r="AF112" s="17">
        <f xml:space="preserve"> (PortfolioData[[#This Row],[Vacancy_%]] * 0.4) + (PortfolioData[[#This Row],[Debt_Ratio]] * 0.3) + (PortfolioData[[#This Row],[Interest_Rate]]/100 * 0.3)</f>
        <v>0.16273429020756255</v>
      </c>
    </row>
    <row r="113" spans="1:32" x14ac:dyDescent="0.3">
      <c r="A113" t="s">
        <v>165</v>
      </c>
      <c r="B113" t="s">
        <v>27</v>
      </c>
      <c r="C113" t="s">
        <v>16</v>
      </c>
      <c r="D113">
        <v>2012</v>
      </c>
      <c r="E113">
        <v>17954306</v>
      </c>
      <c r="F113">
        <v>19437190.399999999</v>
      </c>
      <c r="G113">
        <v>11</v>
      </c>
      <c r="H113">
        <v>11</v>
      </c>
      <c r="I113">
        <v>5710</v>
      </c>
      <c r="J113">
        <v>457295</v>
      </c>
      <c r="K113">
        <v>438873</v>
      </c>
      <c r="L113">
        <v>9175830</v>
      </c>
      <c r="M113">
        <v>5.9</v>
      </c>
      <c r="N113" t="s">
        <v>24</v>
      </c>
      <c r="O113" s="5">
        <f>PortfolioData[[#This Row],[Occupied_Units]]*PortfolioData[[#This Row],[Avg_Rent_per_Unit]]*12</f>
        <v>753720</v>
      </c>
      <c r="P113" s="3">
        <f>1-(PortfolioData[[#This Row],[Occupied_Units]]/PortfolioData[[#This Row],[Units]])</f>
        <v>0</v>
      </c>
      <c r="Q113" s="5">
        <f>PortfolioData[[#This Row],[Gross_Rental_Income]] - PortfolioData[[#This Row],[Operating_Cost]] - PortfolioData[[#This Row],[Maintenance_Cost]]</f>
        <v>-142448</v>
      </c>
      <c r="R113" s="5">
        <f>PortfolioData[[#This Row],[Adjusted_Debt_Outstanding]]*(PortfolioData[[#This Row],[Interest_Rate]]/100)</f>
        <v>541373.97000000009</v>
      </c>
      <c r="S113" s="5">
        <f>MIN(PortfolioData[[#This Row],[Debt_Outstanding]], PortfolioData[[#This Row],[Current_Value]]*0.8)</f>
        <v>9175830</v>
      </c>
      <c r="T113" s="5">
        <f>PortfolioData[[#This Row],[Net Operating Income (NOI)]]/PortfolioData[[#This Row],[Annual_Debt_Service]]</f>
        <v>-0.26312310508759773</v>
      </c>
      <c r="U113" s="5">
        <f>PortfolioData[[#This Row],[Net Operating Income (NOI)]]-PortfolioData[[#This Row],[Annual_Debt_Service]]</f>
        <v>-683821.97000000009</v>
      </c>
      <c r="V113" s="5">
        <f>PortfolioData[[#This Row],[Net Operating Income (NOI)]]</f>
        <v>-142448</v>
      </c>
      <c r="W113" s="3">
        <f>PortfolioData[[#This Row],[Gross_Rental_Income]] / PortfolioData[[#This Row],[Purchase_Price]]</f>
        <v>4.1979901645878157E-2</v>
      </c>
      <c r="X113" s="3">
        <f>PortfolioData[[#This Row],[Net Operating Income (NOI)]]/PortfolioData[[#This Row],[Current_Value]]</f>
        <v>-7.3286311997026081E-3</v>
      </c>
      <c r="Y113" s="3">
        <f>(PortfolioData[[#This Row],[Current_Value]]-PortfolioData[[#This Row],[Purchase_Price]]+PortfolioData[[#This Row],[Net Operating Income (NOI)]]) / PortfolioData[[#This Row],[Purchase_Price]]</f>
        <v>7.4658212910039434E-2</v>
      </c>
      <c r="Z113" s="5">
        <f>_xlfn.PERCENTRANK.INC(PortfolioData[ROI],PortfolioData[[#This Row],[ROI]])</f>
        <v>0.27500000000000002</v>
      </c>
      <c r="AA113" s="3" t="str">
        <f>IF(PortfolioData[[#This Row],[ROI_Percentile]]&lt;=0.1,"Underperforming","Healthy")</f>
        <v>Healthy</v>
      </c>
      <c r="AB113" s="3">
        <f>PortfolioData[[#This Row],[Debt_Outstanding]]/PortfolioData[[#This Row],[Current_Value]]</f>
        <v>0.47207594365078609</v>
      </c>
      <c r="AC113">
        <f>PortfolioData[[#This Row],[Units]]*PortfolioData[[#This Row],[Avg_Rent_per_Unit]]*12</f>
        <v>753720</v>
      </c>
      <c r="AD113" s="13">
        <f>PortfolioData[[#This Row],[Potential_Revenue]]-PortfolioData[[#This Row],[Gross_Rental_Income]]</f>
        <v>0</v>
      </c>
      <c r="AE113" s="3">
        <f>IFERROR(PortfolioData[[#This Row],[Vacancy_Loss]]/PortfolioData[[#This Row],[Potential_Revenue]],0)</f>
        <v>0</v>
      </c>
      <c r="AF113" s="17">
        <f xml:space="preserve"> (PortfolioData[[#This Row],[Vacancy_%]] * 0.4) + (PortfolioData[[#This Row],[Debt_Ratio]] * 0.3) + (PortfolioData[[#This Row],[Interest_Rate]]/100 * 0.3)</f>
        <v>0.15932278309523581</v>
      </c>
    </row>
    <row r="114" spans="1:32" x14ac:dyDescent="0.3">
      <c r="A114" t="s">
        <v>97</v>
      </c>
      <c r="B114" t="s">
        <v>15</v>
      </c>
      <c r="C114" t="s">
        <v>20</v>
      </c>
      <c r="D114">
        <v>2016</v>
      </c>
      <c r="E114">
        <v>10365070</v>
      </c>
      <c r="F114">
        <v>11104739.18</v>
      </c>
      <c r="G114">
        <v>21</v>
      </c>
      <c r="H114">
        <v>21</v>
      </c>
      <c r="I114">
        <v>2469</v>
      </c>
      <c r="J114">
        <v>823384</v>
      </c>
      <c r="K114">
        <v>493053</v>
      </c>
      <c r="L114">
        <v>4870247</v>
      </c>
      <c r="M114">
        <v>5.81</v>
      </c>
      <c r="N114" t="s">
        <v>24</v>
      </c>
      <c r="O114" s="5">
        <f>PortfolioData[[#This Row],[Occupied_Units]]*PortfolioData[[#This Row],[Avg_Rent_per_Unit]]*12</f>
        <v>622188</v>
      </c>
      <c r="P114" s="3">
        <f>1-(PortfolioData[[#This Row],[Occupied_Units]]/PortfolioData[[#This Row],[Units]])</f>
        <v>0</v>
      </c>
      <c r="Q114" s="5">
        <f>PortfolioData[[#This Row],[Gross_Rental_Income]] - PortfolioData[[#This Row],[Operating_Cost]] - PortfolioData[[#This Row],[Maintenance_Cost]]</f>
        <v>-694249</v>
      </c>
      <c r="R114" s="5">
        <f>PortfolioData[[#This Row],[Adjusted_Debt_Outstanding]]*(PortfolioData[[#This Row],[Interest_Rate]]/100)</f>
        <v>282961.35070000001</v>
      </c>
      <c r="S114" s="5">
        <f>MIN(PortfolioData[[#This Row],[Debt_Outstanding]], PortfolioData[[#This Row],[Current_Value]]*0.8)</f>
        <v>4870247</v>
      </c>
      <c r="T114" s="5">
        <f>PortfolioData[[#This Row],[Net Operating Income (NOI)]]/PortfolioData[[#This Row],[Annual_Debt_Service]]</f>
        <v>-2.4535117544588396</v>
      </c>
      <c r="U114" s="5">
        <f>PortfolioData[[#This Row],[Net Operating Income (NOI)]]-PortfolioData[[#This Row],[Annual_Debt_Service]]</f>
        <v>-977210.35070000007</v>
      </c>
      <c r="V114" s="5">
        <f>PortfolioData[[#This Row],[Net Operating Income (NOI)]]</f>
        <v>-694249</v>
      </c>
      <c r="W114" s="3">
        <f>PortfolioData[[#This Row],[Gross_Rental_Income]] / PortfolioData[[#This Row],[Purchase_Price]]</f>
        <v>6.002738042290115E-2</v>
      </c>
      <c r="X114" s="3">
        <f>PortfolioData[[#This Row],[Net Operating Income (NOI)]]/PortfolioData[[#This Row],[Current_Value]]</f>
        <v>-6.2518262585614368E-2</v>
      </c>
      <c r="Y114" s="3">
        <f>(PortfolioData[[#This Row],[Current_Value]]-PortfolioData[[#This Row],[Purchase_Price]]+PortfolioData[[#This Row],[Net Operating Income (NOI)]]) / PortfolioData[[#This Row],[Purchase_Price]]</f>
        <v>4.38204276478593E-3</v>
      </c>
      <c r="Z114" s="5">
        <f>_xlfn.PERCENTRANK.INC(PortfolioData[ROI],PortfolioData[[#This Row],[ROI]])</f>
        <v>0.161</v>
      </c>
      <c r="AA114" s="3" t="str">
        <f>IF(PortfolioData[[#This Row],[ROI_Percentile]]&lt;=0.1,"Underperforming","Healthy")</f>
        <v>Healthy</v>
      </c>
      <c r="AB114" s="3">
        <f>PortfolioData[[#This Row],[Debt_Outstanding]]/PortfolioData[[#This Row],[Current_Value]]</f>
        <v>0.43857374054957321</v>
      </c>
      <c r="AC114">
        <f>PortfolioData[[#This Row],[Units]]*PortfolioData[[#This Row],[Avg_Rent_per_Unit]]*12</f>
        <v>622188</v>
      </c>
      <c r="AD114" s="13">
        <f>PortfolioData[[#This Row],[Potential_Revenue]]-PortfolioData[[#This Row],[Gross_Rental_Income]]</f>
        <v>0</v>
      </c>
      <c r="AE114" s="3">
        <f>IFERROR(PortfolioData[[#This Row],[Vacancy_Loss]]/PortfolioData[[#This Row],[Potential_Revenue]],0)</f>
        <v>0</v>
      </c>
      <c r="AF114" s="17">
        <f xml:space="preserve"> (PortfolioData[[#This Row],[Vacancy_%]] * 0.4) + (PortfolioData[[#This Row],[Debt_Ratio]] * 0.3) + (PortfolioData[[#This Row],[Interest_Rate]]/100 * 0.3)</f>
        <v>0.14900212216487196</v>
      </c>
    </row>
    <row r="115" spans="1:32" x14ac:dyDescent="0.3">
      <c r="A115" t="s">
        <v>172</v>
      </c>
      <c r="B115" t="s">
        <v>27</v>
      </c>
      <c r="C115" t="s">
        <v>30</v>
      </c>
      <c r="D115">
        <v>2018</v>
      </c>
      <c r="E115">
        <v>17180325</v>
      </c>
      <c r="F115">
        <v>20477916.210000001</v>
      </c>
      <c r="G115">
        <v>77</v>
      </c>
      <c r="H115">
        <v>67</v>
      </c>
      <c r="I115">
        <v>3650</v>
      </c>
      <c r="J115">
        <v>320452</v>
      </c>
      <c r="K115">
        <v>239581</v>
      </c>
      <c r="L115">
        <v>5119154</v>
      </c>
      <c r="M115">
        <v>7.13</v>
      </c>
      <c r="N115" t="s">
        <v>17</v>
      </c>
      <c r="O115" s="5">
        <f>PortfolioData[[#This Row],[Occupied_Units]]*PortfolioData[[#This Row],[Avg_Rent_per_Unit]]*12</f>
        <v>2934600</v>
      </c>
      <c r="P115" s="3">
        <f>1-(PortfolioData[[#This Row],[Occupied_Units]]/PortfolioData[[#This Row],[Units]])</f>
        <v>0.12987012987012991</v>
      </c>
      <c r="Q115" s="5">
        <f>PortfolioData[[#This Row],[Gross_Rental_Income]] - PortfolioData[[#This Row],[Operating_Cost]] - PortfolioData[[#This Row],[Maintenance_Cost]]</f>
        <v>2374567</v>
      </c>
      <c r="R115" s="5">
        <f>PortfolioData[[#This Row],[Adjusted_Debt_Outstanding]]*(PortfolioData[[#This Row],[Interest_Rate]]/100)</f>
        <v>364995.6802</v>
      </c>
      <c r="S115" s="5">
        <f>MIN(PortfolioData[[#This Row],[Debt_Outstanding]], PortfolioData[[#This Row],[Current_Value]]*0.8)</f>
        <v>5119154</v>
      </c>
      <c r="T115" s="5">
        <f>PortfolioData[[#This Row],[Net Operating Income (NOI)]]/PortfolioData[[#This Row],[Annual_Debt_Service]]</f>
        <v>6.5057400095772424</v>
      </c>
      <c r="U115" s="5">
        <f>PortfolioData[[#This Row],[Net Operating Income (NOI)]]-PortfolioData[[#This Row],[Annual_Debt_Service]]</f>
        <v>2009571.3197999999</v>
      </c>
      <c r="V115" s="5">
        <f>PortfolioData[[#This Row],[Net Operating Income (NOI)]]</f>
        <v>2374567</v>
      </c>
      <c r="W115" s="3">
        <f>PortfolioData[[#This Row],[Gross_Rental_Income]] / PortfolioData[[#This Row],[Purchase_Price]]</f>
        <v>0.17081166974431508</v>
      </c>
      <c r="X115" s="3">
        <f>PortfolioData[[#This Row],[Net Operating Income (NOI)]]/PortfolioData[[#This Row],[Current_Value]]</f>
        <v>0.1159574526845864</v>
      </c>
      <c r="Y115" s="3">
        <f>(PortfolioData[[#This Row],[Current_Value]]-PortfolioData[[#This Row],[Purchase_Price]]+PortfolioData[[#This Row],[Net Operating Income (NOI)]]) / PortfolioData[[#This Row],[Purchase_Price]]</f>
        <v>0.33015430208683483</v>
      </c>
      <c r="Z115" s="5">
        <f>_xlfn.PERCENTRANK.INC(PortfolioData[ROI],PortfolioData[[#This Row],[ROI]])</f>
        <v>0.73799999999999999</v>
      </c>
      <c r="AA115" s="3" t="str">
        <f>IF(PortfolioData[[#This Row],[ROI_Percentile]]&lt;=0.1,"Underperforming","Healthy")</f>
        <v>Healthy</v>
      </c>
      <c r="AB115" s="3">
        <f>PortfolioData[[#This Row],[Debt_Outstanding]]/PortfolioData[[#This Row],[Current_Value]]</f>
        <v>0.24998412668082695</v>
      </c>
      <c r="AC115">
        <f>PortfolioData[[#This Row],[Units]]*PortfolioData[[#This Row],[Avg_Rent_per_Unit]]*12</f>
        <v>3372600</v>
      </c>
      <c r="AD115" s="13">
        <f>PortfolioData[[#This Row],[Potential_Revenue]]-PortfolioData[[#This Row],[Gross_Rental_Income]]</f>
        <v>438000</v>
      </c>
      <c r="AE115" s="3">
        <f>IFERROR(PortfolioData[[#This Row],[Vacancy_Loss]]/PortfolioData[[#This Row],[Potential_Revenue]],0)</f>
        <v>0.12987012987012986</v>
      </c>
      <c r="AF115" s="17">
        <f xml:space="preserve"> (PortfolioData[[#This Row],[Vacancy_%]] * 0.4) + (PortfolioData[[#This Row],[Debt_Ratio]] * 0.3) + (PortfolioData[[#This Row],[Interest_Rate]]/100 * 0.3)</f>
        <v>0.14833328995230002</v>
      </c>
    </row>
    <row r="116" spans="1:32" x14ac:dyDescent="0.3">
      <c r="A116" t="s">
        <v>156</v>
      </c>
      <c r="B116" t="s">
        <v>35</v>
      </c>
      <c r="C116" t="s">
        <v>30</v>
      </c>
      <c r="D116">
        <v>2022</v>
      </c>
      <c r="E116">
        <v>20280168</v>
      </c>
      <c r="F116">
        <v>20168102.829999998</v>
      </c>
      <c r="G116">
        <v>42</v>
      </c>
      <c r="H116">
        <v>33</v>
      </c>
      <c r="I116">
        <v>5344</v>
      </c>
      <c r="J116">
        <v>266080</v>
      </c>
      <c r="K116">
        <v>195357</v>
      </c>
      <c r="L116">
        <v>2841717</v>
      </c>
      <c r="M116">
        <v>6.61</v>
      </c>
      <c r="N116" t="s">
        <v>24</v>
      </c>
      <c r="O116" s="5">
        <f>PortfolioData[[#This Row],[Occupied_Units]]*PortfolioData[[#This Row],[Avg_Rent_per_Unit]]*12</f>
        <v>2116224</v>
      </c>
      <c r="P116" s="3">
        <f>1-(PortfolioData[[#This Row],[Occupied_Units]]/PortfolioData[[#This Row],[Units]])</f>
        <v>0.2142857142857143</v>
      </c>
      <c r="Q116" s="5">
        <f>PortfolioData[[#This Row],[Gross_Rental_Income]] - PortfolioData[[#This Row],[Operating_Cost]] - PortfolioData[[#This Row],[Maintenance_Cost]]</f>
        <v>1654787</v>
      </c>
      <c r="R116" s="5">
        <f>PortfolioData[[#This Row],[Adjusted_Debt_Outstanding]]*(PortfolioData[[#This Row],[Interest_Rate]]/100)</f>
        <v>187837.49370000002</v>
      </c>
      <c r="S116" s="5">
        <f>MIN(PortfolioData[[#This Row],[Debt_Outstanding]], PortfolioData[[#This Row],[Current_Value]]*0.8)</f>
        <v>2841717</v>
      </c>
      <c r="T116" s="5">
        <f>PortfolioData[[#This Row],[Net Operating Income (NOI)]]/PortfolioData[[#This Row],[Annual_Debt_Service]]</f>
        <v>8.8096735502811914</v>
      </c>
      <c r="U116" s="5">
        <f>PortfolioData[[#This Row],[Net Operating Income (NOI)]]-PortfolioData[[#This Row],[Annual_Debt_Service]]</f>
        <v>1466949.5063</v>
      </c>
      <c r="V116" s="5">
        <f>PortfolioData[[#This Row],[Net Operating Income (NOI)]]</f>
        <v>1654787</v>
      </c>
      <c r="W116" s="3">
        <f>PortfolioData[[#This Row],[Gross_Rental_Income]] / PortfolioData[[#This Row],[Purchase_Price]]</f>
        <v>0.10434943142482843</v>
      </c>
      <c r="X116" s="3">
        <f>PortfolioData[[#This Row],[Net Operating Income (NOI)]]/PortfolioData[[#This Row],[Current_Value]]</f>
        <v>8.2049710572603227E-2</v>
      </c>
      <c r="Y116" s="3">
        <f>(PortfolioData[[#This Row],[Current_Value]]-PortfolioData[[#This Row],[Purchase_Price]]+PortfolioData[[#This Row],[Net Operating Income (NOI)]]) / PortfolioData[[#This Row],[Purchase_Price]]</f>
        <v>7.6070465984305363E-2</v>
      </c>
      <c r="Z116" s="5">
        <f>_xlfn.PERCENTRANK.INC(PortfolioData[ROI],PortfolioData[[#This Row],[ROI]])</f>
        <v>0.28100000000000003</v>
      </c>
      <c r="AA116" s="3" t="str">
        <f>IF(PortfolioData[[#This Row],[ROI_Percentile]]&lt;=0.1,"Underperforming","Healthy")</f>
        <v>Healthy</v>
      </c>
      <c r="AB116" s="3">
        <f>PortfolioData[[#This Row],[Debt_Outstanding]]/PortfolioData[[#This Row],[Current_Value]]</f>
        <v>0.14090155251355391</v>
      </c>
      <c r="AC116">
        <f>PortfolioData[[#This Row],[Units]]*PortfolioData[[#This Row],[Avg_Rent_per_Unit]]*12</f>
        <v>2693376</v>
      </c>
      <c r="AD116" s="13">
        <f>PortfolioData[[#This Row],[Potential_Revenue]]-PortfolioData[[#This Row],[Gross_Rental_Income]]</f>
        <v>577152</v>
      </c>
      <c r="AE116" s="3">
        <f>IFERROR(PortfolioData[[#This Row],[Vacancy_Loss]]/PortfolioData[[#This Row],[Potential_Revenue]],0)</f>
        <v>0.21428571428571427</v>
      </c>
      <c r="AF116" s="17">
        <f xml:space="preserve"> (PortfolioData[[#This Row],[Vacancy_%]] * 0.4) + (PortfolioData[[#This Row],[Debt_Ratio]] * 0.3) + (PortfolioData[[#This Row],[Interest_Rate]]/100 * 0.3)</f>
        <v>0.14781475146835188</v>
      </c>
    </row>
    <row r="117" spans="1:32" x14ac:dyDescent="0.3">
      <c r="A117" t="s">
        <v>58</v>
      </c>
      <c r="B117" t="s">
        <v>35</v>
      </c>
      <c r="C117" t="s">
        <v>20</v>
      </c>
      <c r="D117">
        <v>2012</v>
      </c>
      <c r="E117">
        <v>20266466</v>
      </c>
      <c r="F117">
        <v>25542436.649999999</v>
      </c>
      <c r="G117">
        <v>76</v>
      </c>
      <c r="H117">
        <v>69</v>
      </c>
      <c r="I117">
        <v>4783</v>
      </c>
      <c r="J117">
        <v>697143</v>
      </c>
      <c r="K117">
        <v>320631</v>
      </c>
      <c r="L117">
        <v>7238735</v>
      </c>
      <c r="M117">
        <v>7.11</v>
      </c>
      <c r="N117" t="s">
        <v>24</v>
      </c>
      <c r="O117" s="5">
        <f>PortfolioData[[#This Row],[Occupied_Units]]*PortfolioData[[#This Row],[Avg_Rent_per_Unit]]*12</f>
        <v>3960324</v>
      </c>
      <c r="P117" s="3">
        <f>1-(PortfolioData[[#This Row],[Occupied_Units]]/PortfolioData[[#This Row],[Units]])</f>
        <v>9.210526315789469E-2</v>
      </c>
      <c r="Q117" s="5">
        <f>PortfolioData[[#This Row],[Gross_Rental_Income]] - PortfolioData[[#This Row],[Operating_Cost]] - PortfolioData[[#This Row],[Maintenance_Cost]]</f>
        <v>2942550</v>
      </c>
      <c r="R117" s="5">
        <f>PortfolioData[[#This Row],[Adjusted_Debt_Outstanding]]*(PortfolioData[[#This Row],[Interest_Rate]]/100)</f>
        <v>514674.05849999998</v>
      </c>
      <c r="S117" s="5">
        <f>MIN(PortfolioData[[#This Row],[Debt_Outstanding]], PortfolioData[[#This Row],[Current_Value]]*0.8)</f>
        <v>7238735</v>
      </c>
      <c r="T117" s="5">
        <f>PortfolioData[[#This Row],[Net Operating Income (NOI)]]/PortfolioData[[#This Row],[Annual_Debt_Service]]</f>
        <v>5.717307782280618</v>
      </c>
      <c r="U117" s="5">
        <f>PortfolioData[[#This Row],[Net Operating Income (NOI)]]-PortfolioData[[#This Row],[Annual_Debt_Service]]</f>
        <v>2427875.9415000002</v>
      </c>
      <c r="V117" s="5">
        <f>PortfolioData[[#This Row],[Net Operating Income (NOI)]]</f>
        <v>2942550</v>
      </c>
      <c r="W117" s="3">
        <f>PortfolioData[[#This Row],[Gross_Rental_Income]] / PortfolioData[[#This Row],[Purchase_Price]]</f>
        <v>0.19541265852665185</v>
      </c>
      <c r="X117" s="3">
        <f>PortfolioData[[#This Row],[Net Operating Income (NOI)]]/PortfolioData[[#This Row],[Current_Value]]</f>
        <v>0.11520239984621829</v>
      </c>
      <c r="Y117" s="3">
        <f>(PortfolioData[[#This Row],[Current_Value]]-PortfolioData[[#This Row],[Purchase_Price]]+PortfolioData[[#This Row],[Net Operating Income (NOI)]]) / PortfolioData[[#This Row],[Purchase_Price]]</f>
        <v>0.40552312623226955</v>
      </c>
      <c r="Z117" s="5">
        <f>_xlfn.PERCENTRANK.INC(PortfolioData[ROI],PortfolioData[[#This Row],[ROI]])</f>
        <v>0.86499999999999999</v>
      </c>
      <c r="AA117" s="3" t="str">
        <f>IF(PortfolioData[[#This Row],[ROI_Percentile]]&lt;=0.1,"Underperforming","Healthy")</f>
        <v>Healthy</v>
      </c>
      <c r="AB117" s="3">
        <f>PortfolioData[[#This Row],[Debt_Outstanding]]/PortfolioData[[#This Row],[Current_Value]]</f>
        <v>0.28340033095472122</v>
      </c>
      <c r="AC117">
        <f>PortfolioData[[#This Row],[Units]]*PortfolioData[[#This Row],[Avg_Rent_per_Unit]]*12</f>
        <v>4362096</v>
      </c>
      <c r="AD117" s="13">
        <f>PortfolioData[[#This Row],[Potential_Revenue]]-PortfolioData[[#This Row],[Gross_Rental_Income]]</f>
        <v>401772</v>
      </c>
      <c r="AE117" s="3">
        <f>IFERROR(PortfolioData[[#This Row],[Vacancy_Loss]]/PortfolioData[[#This Row],[Potential_Revenue]],0)</f>
        <v>9.2105263157894732E-2</v>
      </c>
      <c r="AF117" s="17">
        <f xml:space="preserve"> (PortfolioData[[#This Row],[Vacancy_%]] * 0.4) + (PortfolioData[[#This Row],[Debt_Ratio]] * 0.3) + (PortfolioData[[#This Row],[Interest_Rate]]/100 * 0.3)</f>
        <v>0.14319220454957424</v>
      </c>
    </row>
    <row r="118" spans="1:32" x14ac:dyDescent="0.3">
      <c r="A118" t="s">
        <v>142</v>
      </c>
      <c r="B118" t="s">
        <v>19</v>
      </c>
      <c r="C118" t="s">
        <v>16</v>
      </c>
      <c r="D118">
        <v>2015</v>
      </c>
      <c r="E118">
        <v>19163223</v>
      </c>
      <c r="F118">
        <v>21487620.239999998</v>
      </c>
      <c r="G118">
        <v>15</v>
      </c>
      <c r="H118">
        <v>14</v>
      </c>
      <c r="I118">
        <v>1882</v>
      </c>
      <c r="J118">
        <v>685053</v>
      </c>
      <c r="K118">
        <v>416203</v>
      </c>
      <c r="L118">
        <v>7451646</v>
      </c>
      <c r="M118">
        <v>4.1500000000000004</v>
      </c>
      <c r="N118" t="s">
        <v>17</v>
      </c>
      <c r="O118" s="5">
        <f>PortfolioData[[#This Row],[Occupied_Units]]*PortfolioData[[#This Row],[Avg_Rent_per_Unit]]*12</f>
        <v>316176</v>
      </c>
      <c r="P118" s="3">
        <f>1-(PortfolioData[[#This Row],[Occupied_Units]]/PortfolioData[[#This Row],[Units]])</f>
        <v>6.6666666666666652E-2</v>
      </c>
      <c r="Q118" s="5">
        <f>PortfolioData[[#This Row],[Gross_Rental_Income]] - PortfolioData[[#This Row],[Operating_Cost]] - PortfolioData[[#This Row],[Maintenance_Cost]]</f>
        <v>-785080</v>
      </c>
      <c r="R118" s="5">
        <f>PortfolioData[[#This Row],[Adjusted_Debt_Outstanding]]*(PortfolioData[[#This Row],[Interest_Rate]]/100)</f>
        <v>309243.30900000001</v>
      </c>
      <c r="S118" s="5">
        <f>MIN(PortfolioData[[#This Row],[Debt_Outstanding]], PortfolioData[[#This Row],[Current_Value]]*0.8)</f>
        <v>7451646</v>
      </c>
      <c r="T118" s="5">
        <f>PortfolioData[[#This Row],[Net Operating Income (NOI)]]/PortfolioData[[#This Row],[Annual_Debt_Service]]</f>
        <v>-2.5387129717978798</v>
      </c>
      <c r="U118" s="5">
        <f>PortfolioData[[#This Row],[Net Operating Income (NOI)]]-PortfolioData[[#This Row],[Annual_Debt_Service]]</f>
        <v>-1094323.3089999999</v>
      </c>
      <c r="V118" s="5">
        <f>PortfolioData[[#This Row],[Net Operating Income (NOI)]]</f>
        <v>-785080</v>
      </c>
      <c r="W118" s="3">
        <f>PortfolioData[[#This Row],[Gross_Rental_Income]] / PortfolioData[[#This Row],[Purchase_Price]]</f>
        <v>1.6499103517190195E-2</v>
      </c>
      <c r="X118" s="3">
        <f>PortfolioData[[#This Row],[Net Operating Income (NOI)]]/PortfolioData[[#This Row],[Current_Value]]</f>
        <v>-3.6536386590570166E-2</v>
      </c>
      <c r="Y118" s="3">
        <f>(PortfolioData[[#This Row],[Current_Value]]-PortfolioData[[#This Row],[Purchase_Price]]+PortfolioData[[#This Row],[Net Operating Income (NOI)]]) / PortfolioData[[#This Row],[Purchase_Price]]</f>
        <v>8.0326636077866359E-2</v>
      </c>
      <c r="Z118" s="5">
        <f>_xlfn.PERCENTRANK.INC(PortfolioData[ROI],PortfolioData[[#This Row],[ROI]])</f>
        <v>0.29499999999999998</v>
      </c>
      <c r="AA118" s="3" t="str">
        <f>IF(PortfolioData[[#This Row],[ROI_Percentile]]&lt;=0.1,"Underperforming","Healthy")</f>
        <v>Healthy</v>
      </c>
      <c r="AB118" s="3">
        <f>PortfolioData[[#This Row],[Debt_Outstanding]]/PortfolioData[[#This Row],[Current_Value]]</f>
        <v>0.34678786746838003</v>
      </c>
      <c r="AC118">
        <f>PortfolioData[[#This Row],[Units]]*PortfolioData[[#This Row],[Avg_Rent_per_Unit]]*12</f>
        <v>338760</v>
      </c>
      <c r="AD118" s="13">
        <f>PortfolioData[[#This Row],[Potential_Revenue]]-PortfolioData[[#This Row],[Gross_Rental_Income]]</f>
        <v>22584</v>
      </c>
      <c r="AE118" s="3">
        <f>IFERROR(PortfolioData[[#This Row],[Vacancy_Loss]]/PortfolioData[[#This Row],[Potential_Revenue]],0)</f>
        <v>6.6666666666666666E-2</v>
      </c>
      <c r="AF118" s="17">
        <f xml:space="preserve"> (PortfolioData[[#This Row],[Vacancy_%]] * 0.4) + (PortfolioData[[#This Row],[Debt_Ratio]] * 0.3) + (PortfolioData[[#This Row],[Interest_Rate]]/100 * 0.3)</f>
        <v>0.14315302690718065</v>
      </c>
    </row>
    <row r="119" spans="1:32" x14ac:dyDescent="0.3">
      <c r="A119" t="s">
        <v>32</v>
      </c>
      <c r="B119" t="s">
        <v>15</v>
      </c>
      <c r="C119" t="s">
        <v>30</v>
      </c>
      <c r="D119">
        <v>2010</v>
      </c>
      <c r="E119">
        <v>23168365</v>
      </c>
      <c r="F119">
        <v>27656361.690000001</v>
      </c>
      <c r="G119">
        <v>38</v>
      </c>
      <c r="H119">
        <v>34</v>
      </c>
      <c r="I119">
        <v>5299</v>
      </c>
      <c r="J119">
        <v>242604</v>
      </c>
      <c r="K119">
        <v>338138</v>
      </c>
      <c r="L119">
        <v>7693026</v>
      </c>
      <c r="M119">
        <v>5.53</v>
      </c>
      <c r="N119" t="s">
        <v>24</v>
      </c>
      <c r="O119" s="5">
        <f>PortfolioData[[#This Row],[Occupied_Units]]*PortfolioData[[#This Row],[Avg_Rent_per_Unit]]*12</f>
        <v>2161992</v>
      </c>
      <c r="P119" s="3">
        <f>1-(PortfolioData[[#This Row],[Occupied_Units]]/PortfolioData[[#This Row],[Units]])</f>
        <v>0.10526315789473684</v>
      </c>
      <c r="Q119" s="5">
        <f>PortfolioData[[#This Row],[Gross_Rental_Income]] - PortfolioData[[#This Row],[Operating_Cost]] - PortfolioData[[#This Row],[Maintenance_Cost]]</f>
        <v>1581250</v>
      </c>
      <c r="R119" s="5">
        <f>PortfolioData[[#This Row],[Adjusted_Debt_Outstanding]]*(PortfolioData[[#This Row],[Interest_Rate]]/100)</f>
        <v>425424.33780000004</v>
      </c>
      <c r="S119" s="5">
        <f>MIN(PortfolioData[[#This Row],[Debt_Outstanding]], PortfolioData[[#This Row],[Current_Value]]*0.8)</f>
        <v>7693026</v>
      </c>
      <c r="T119" s="5">
        <f>PortfolioData[[#This Row],[Net Operating Income (NOI)]]/PortfolioData[[#This Row],[Annual_Debt_Service]]</f>
        <v>3.7168771494765194</v>
      </c>
      <c r="U119" s="5">
        <f>PortfolioData[[#This Row],[Net Operating Income (NOI)]]-PortfolioData[[#This Row],[Annual_Debt_Service]]</f>
        <v>1155825.6621999999</v>
      </c>
      <c r="V119" s="5">
        <f>PortfolioData[[#This Row],[Net Operating Income (NOI)]]</f>
        <v>1581250</v>
      </c>
      <c r="W119" s="3">
        <f>PortfolioData[[#This Row],[Gross_Rental_Income]] / PortfolioData[[#This Row],[Purchase_Price]]</f>
        <v>9.3316554707248436E-2</v>
      </c>
      <c r="X119" s="3">
        <f>PortfolioData[[#This Row],[Net Operating Income (NOI)]]/PortfolioData[[#This Row],[Current_Value]]</f>
        <v>5.71749103415779E-2</v>
      </c>
      <c r="Y119" s="3">
        <f>(PortfolioData[[#This Row],[Current_Value]]-PortfolioData[[#This Row],[Purchase_Price]]+PortfolioData[[#This Row],[Net Operating Income (NOI)]]) / PortfolioData[[#This Row],[Purchase_Price]]</f>
        <v>0.26196266719727529</v>
      </c>
      <c r="Z119" s="5">
        <f>_xlfn.PERCENTRANK.INC(PortfolioData[ROI],PortfolioData[[#This Row],[ROI]])</f>
        <v>0.58299999999999996</v>
      </c>
      <c r="AA119" s="3" t="str">
        <f>IF(PortfolioData[[#This Row],[ROI_Percentile]]&lt;=0.1,"Underperforming","Healthy")</f>
        <v>Healthy</v>
      </c>
      <c r="AB119" s="3">
        <f>PortfolioData[[#This Row],[Debt_Outstanding]]/PortfolioData[[#This Row],[Current_Value]]</f>
        <v>0.27816478849355109</v>
      </c>
      <c r="AC119">
        <f>PortfolioData[[#This Row],[Units]]*PortfolioData[[#This Row],[Avg_Rent_per_Unit]]*12</f>
        <v>2416344</v>
      </c>
      <c r="AD119" s="13">
        <f>PortfolioData[[#This Row],[Potential_Revenue]]-PortfolioData[[#This Row],[Gross_Rental_Income]]</f>
        <v>254352</v>
      </c>
      <c r="AE119" s="3">
        <f>IFERROR(PortfolioData[[#This Row],[Vacancy_Loss]]/PortfolioData[[#This Row],[Potential_Revenue]],0)</f>
        <v>0.10526315789473684</v>
      </c>
      <c r="AF119" s="17">
        <f xml:space="preserve"> (PortfolioData[[#This Row],[Vacancy_%]] * 0.4) + (PortfolioData[[#This Row],[Debt_Ratio]] * 0.3) + (PortfolioData[[#This Row],[Interest_Rate]]/100 * 0.3)</f>
        <v>0.14214469970596005</v>
      </c>
    </row>
    <row r="120" spans="1:32" x14ac:dyDescent="0.3">
      <c r="A120" t="s">
        <v>139</v>
      </c>
      <c r="B120" t="s">
        <v>35</v>
      </c>
      <c r="C120" t="s">
        <v>23</v>
      </c>
      <c r="D120">
        <v>2021</v>
      </c>
      <c r="E120">
        <v>19788855</v>
      </c>
      <c r="F120">
        <v>23774636.440000001</v>
      </c>
      <c r="G120">
        <v>78</v>
      </c>
      <c r="H120">
        <v>68</v>
      </c>
      <c r="I120">
        <v>2311</v>
      </c>
      <c r="J120">
        <v>751207</v>
      </c>
      <c r="K120">
        <v>105820</v>
      </c>
      <c r="L120">
        <v>5701918</v>
      </c>
      <c r="M120">
        <v>5.35</v>
      </c>
      <c r="N120" t="s">
        <v>17</v>
      </c>
      <c r="O120" s="5">
        <f>PortfolioData[[#This Row],[Occupied_Units]]*PortfolioData[[#This Row],[Avg_Rent_per_Unit]]*12</f>
        <v>1885776</v>
      </c>
      <c r="P120" s="3">
        <f>1-(PortfolioData[[#This Row],[Occupied_Units]]/PortfolioData[[#This Row],[Units]])</f>
        <v>0.12820512820512819</v>
      </c>
      <c r="Q120" s="5">
        <f>PortfolioData[[#This Row],[Gross_Rental_Income]] - PortfolioData[[#This Row],[Operating_Cost]] - PortfolioData[[#This Row],[Maintenance_Cost]]</f>
        <v>1028749</v>
      </c>
      <c r="R120" s="5">
        <f>PortfolioData[[#This Row],[Adjusted_Debt_Outstanding]]*(PortfolioData[[#This Row],[Interest_Rate]]/100)</f>
        <v>305052.61300000001</v>
      </c>
      <c r="S120" s="5">
        <f>MIN(PortfolioData[[#This Row],[Debt_Outstanding]], PortfolioData[[#This Row],[Current_Value]]*0.8)</f>
        <v>5701918</v>
      </c>
      <c r="T120" s="5">
        <f>PortfolioData[[#This Row],[Net Operating Income (NOI)]]/PortfolioData[[#This Row],[Annual_Debt_Service]]</f>
        <v>3.3723658023542318</v>
      </c>
      <c r="U120" s="5">
        <f>PortfolioData[[#This Row],[Net Operating Income (NOI)]]-PortfolioData[[#This Row],[Annual_Debt_Service]]</f>
        <v>723696.38699999999</v>
      </c>
      <c r="V120" s="5">
        <f>PortfolioData[[#This Row],[Net Operating Income (NOI)]]</f>
        <v>1028749</v>
      </c>
      <c r="W120" s="3">
        <f>PortfolioData[[#This Row],[Gross_Rental_Income]] / PortfolioData[[#This Row],[Purchase_Price]]</f>
        <v>9.529485157175592E-2</v>
      </c>
      <c r="X120" s="3">
        <f>PortfolioData[[#This Row],[Net Operating Income (NOI)]]/PortfolioData[[#This Row],[Current_Value]]</f>
        <v>4.3270861474422613E-2</v>
      </c>
      <c r="Y120" s="3">
        <f>(PortfolioData[[#This Row],[Current_Value]]-PortfolioData[[#This Row],[Purchase_Price]]+PortfolioData[[#This Row],[Net Operating Income (NOI)]]) / PortfolioData[[#This Row],[Purchase_Price]]</f>
        <v>0.25340174759984857</v>
      </c>
      <c r="Z120" s="5">
        <f>_xlfn.PERCENTRANK.INC(PortfolioData[ROI],PortfolioData[[#This Row],[ROI]])</f>
        <v>0.56299999999999994</v>
      </c>
      <c r="AA120" s="3" t="str">
        <f>IF(PortfolioData[[#This Row],[ROI_Percentile]]&lt;=0.1,"Underperforming","Healthy")</f>
        <v>Healthy</v>
      </c>
      <c r="AB120" s="3">
        <f>PortfolioData[[#This Row],[Debt_Outstanding]]/PortfolioData[[#This Row],[Current_Value]]</f>
        <v>0.23983197448213006</v>
      </c>
      <c r="AC120">
        <f>PortfolioData[[#This Row],[Units]]*PortfolioData[[#This Row],[Avg_Rent_per_Unit]]*12</f>
        <v>2163096</v>
      </c>
      <c r="AD120" s="13">
        <f>PortfolioData[[#This Row],[Potential_Revenue]]-PortfolioData[[#This Row],[Gross_Rental_Income]]</f>
        <v>277320</v>
      </c>
      <c r="AE120" s="3">
        <f>IFERROR(PortfolioData[[#This Row],[Vacancy_Loss]]/PortfolioData[[#This Row],[Potential_Revenue]],0)</f>
        <v>0.12820512820512819</v>
      </c>
      <c r="AF120" s="17">
        <f xml:space="preserve"> (PortfolioData[[#This Row],[Vacancy_%]] * 0.4) + (PortfolioData[[#This Row],[Debt_Ratio]] * 0.3) + (PortfolioData[[#This Row],[Interest_Rate]]/100 * 0.3)</f>
        <v>0.13928164362669029</v>
      </c>
    </row>
    <row r="121" spans="1:32" x14ac:dyDescent="0.3">
      <c r="A121" t="s">
        <v>159</v>
      </c>
      <c r="B121" t="s">
        <v>15</v>
      </c>
      <c r="C121" t="s">
        <v>30</v>
      </c>
      <c r="D121">
        <v>2017</v>
      </c>
      <c r="E121">
        <v>11969615</v>
      </c>
      <c r="F121">
        <v>12815863.890000001</v>
      </c>
      <c r="G121">
        <v>36</v>
      </c>
      <c r="H121">
        <v>33</v>
      </c>
      <c r="I121">
        <v>3989</v>
      </c>
      <c r="J121">
        <v>297651</v>
      </c>
      <c r="K121">
        <v>232351</v>
      </c>
      <c r="L121">
        <v>3977098</v>
      </c>
      <c r="M121">
        <v>4.1900000000000004</v>
      </c>
      <c r="N121" t="s">
        <v>24</v>
      </c>
      <c r="O121" s="5">
        <f>PortfolioData[[#This Row],[Occupied_Units]]*PortfolioData[[#This Row],[Avg_Rent_per_Unit]]*12</f>
        <v>1579644</v>
      </c>
      <c r="P121" s="3">
        <f>1-(PortfolioData[[#This Row],[Occupied_Units]]/PortfolioData[[#This Row],[Units]])</f>
        <v>8.333333333333337E-2</v>
      </c>
      <c r="Q121" s="5">
        <f>PortfolioData[[#This Row],[Gross_Rental_Income]] - PortfolioData[[#This Row],[Operating_Cost]] - PortfolioData[[#This Row],[Maintenance_Cost]]</f>
        <v>1049642</v>
      </c>
      <c r="R121" s="5">
        <f>PortfolioData[[#This Row],[Adjusted_Debt_Outstanding]]*(PortfolioData[[#This Row],[Interest_Rate]]/100)</f>
        <v>166640.40620000003</v>
      </c>
      <c r="S121" s="5">
        <f>MIN(PortfolioData[[#This Row],[Debt_Outstanding]], PortfolioData[[#This Row],[Current_Value]]*0.8)</f>
        <v>3977098</v>
      </c>
      <c r="T121" s="5">
        <f>PortfolioData[[#This Row],[Net Operating Income (NOI)]]/PortfolioData[[#This Row],[Annual_Debt_Service]]</f>
        <v>6.2988444635704433</v>
      </c>
      <c r="U121" s="5">
        <f>PortfolioData[[#This Row],[Net Operating Income (NOI)]]-PortfolioData[[#This Row],[Annual_Debt_Service]]</f>
        <v>883001.59379999992</v>
      </c>
      <c r="V121" s="5">
        <f>PortfolioData[[#This Row],[Net Operating Income (NOI)]]</f>
        <v>1049642</v>
      </c>
      <c r="W121" s="3">
        <f>PortfolioData[[#This Row],[Gross_Rental_Income]] / PortfolioData[[#This Row],[Purchase_Price]]</f>
        <v>0.1319711619797295</v>
      </c>
      <c r="X121" s="3">
        <f>PortfolioData[[#This Row],[Net Operating Income (NOI)]]/PortfolioData[[#This Row],[Current_Value]]</f>
        <v>8.1901774941525216E-2</v>
      </c>
      <c r="Y121" s="3">
        <f>(PortfolioData[[#This Row],[Current_Value]]-PortfolioData[[#This Row],[Purchase_Price]]+PortfolioData[[#This Row],[Net Operating Income (NOI)]]) / PortfolioData[[#This Row],[Purchase_Price]]</f>
        <v>0.15839196916525725</v>
      </c>
      <c r="Z121" s="5">
        <f>_xlfn.PERCENTRANK.INC(PortfolioData[ROI],PortfolioData[[#This Row],[ROI]])</f>
        <v>0.38900000000000001</v>
      </c>
      <c r="AA121" s="3" t="str">
        <f>IF(PortfolioData[[#This Row],[ROI_Percentile]]&lt;=0.1,"Underperforming","Healthy")</f>
        <v>Healthy</v>
      </c>
      <c r="AB121" s="3">
        <f>PortfolioData[[#This Row],[Debt_Outstanding]]/PortfolioData[[#This Row],[Current_Value]]</f>
        <v>0.31032617341568847</v>
      </c>
      <c r="AC121">
        <f>PortfolioData[[#This Row],[Units]]*PortfolioData[[#This Row],[Avg_Rent_per_Unit]]*12</f>
        <v>1723248</v>
      </c>
      <c r="AD121" s="13">
        <f>PortfolioData[[#This Row],[Potential_Revenue]]-PortfolioData[[#This Row],[Gross_Rental_Income]]</f>
        <v>143604</v>
      </c>
      <c r="AE121" s="3">
        <f>IFERROR(PortfolioData[[#This Row],[Vacancy_Loss]]/PortfolioData[[#This Row],[Potential_Revenue]],0)</f>
        <v>8.3333333333333329E-2</v>
      </c>
      <c r="AF121" s="17">
        <f xml:space="preserve"> (PortfolioData[[#This Row],[Vacancy_%]] * 0.4) + (PortfolioData[[#This Row],[Debt_Ratio]] * 0.3) + (PortfolioData[[#This Row],[Interest_Rate]]/100 * 0.3)</f>
        <v>0.13900118535803987</v>
      </c>
    </row>
    <row r="122" spans="1:32" x14ac:dyDescent="0.3">
      <c r="A122" t="s">
        <v>47</v>
      </c>
      <c r="B122" t="s">
        <v>19</v>
      </c>
      <c r="C122" t="s">
        <v>16</v>
      </c>
      <c r="D122">
        <v>2011</v>
      </c>
      <c r="E122">
        <v>12699586</v>
      </c>
      <c r="F122">
        <v>15190354.4</v>
      </c>
      <c r="G122">
        <v>12</v>
      </c>
      <c r="H122">
        <v>12</v>
      </c>
      <c r="I122">
        <v>2546</v>
      </c>
      <c r="J122">
        <v>493526</v>
      </c>
      <c r="K122">
        <v>200199</v>
      </c>
      <c r="L122">
        <v>5828935</v>
      </c>
      <c r="M122">
        <v>7.04</v>
      </c>
      <c r="N122" t="s">
        <v>24</v>
      </c>
      <c r="O122" s="5">
        <f>PortfolioData[[#This Row],[Occupied_Units]]*PortfolioData[[#This Row],[Avg_Rent_per_Unit]]*12</f>
        <v>366624</v>
      </c>
      <c r="P122" s="3">
        <f>1-(PortfolioData[[#This Row],[Occupied_Units]]/PortfolioData[[#This Row],[Units]])</f>
        <v>0</v>
      </c>
      <c r="Q122" s="5">
        <f>PortfolioData[[#This Row],[Gross_Rental_Income]] - PortfolioData[[#This Row],[Operating_Cost]] - PortfolioData[[#This Row],[Maintenance_Cost]]</f>
        <v>-327101</v>
      </c>
      <c r="R122" s="5">
        <f>PortfolioData[[#This Row],[Adjusted_Debt_Outstanding]]*(PortfolioData[[#This Row],[Interest_Rate]]/100)</f>
        <v>410357.02400000003</v>
      </c>
      <c r="S122" s="5">
        <f>MIN(PortfolioData[[#This Row],[Debt_Outstanding]], PortfolioData[[#This Row],[Current_Value]]*0.8)</f>
        <v>5828935</v>
      </c>
      <c r="T122" s="5">
        <f>PortfolioData[[#This Row],[Net Operating Income (NOI)]]/PortfolioData[[#This Row],[Annual_Debt_Service]]</f>
        <v>-0.79711319867647734</v>
      </c>
      <c r="U122" s="5">
        <f>PortfolioData[[#This Row],[Net Operating Income (NOI)]]-PortfolioData[[#This Row],[Annual_Debt_Service]]</f>
        <v>-737458.02399999998</v>
      </c>
      <c r="V122" s="5">
        <f>PortfolioData[[#This Row],[Net Operating Income (NOI)]]</f>
        <v>-327101</v>
      </c>
      <c r="W122" s="3">
        <f>PortfolioData[[#This Row],[Gross_Rental_Income]] / PortfolioData[[#This Row],[Purchase_Price]]</f>
        <v>2.886897257910612E-2</v>
      </c>
      <c r="X122" s="3">
        <f>PortfolioData[[#This Row],[Net Operating Income (NOI)]]/PortfolioData[[#This Row],[Current_Value]]</f>
        <v>-2.1533467316601908E-2</v>
      </c>
      <c r="Y122" s="3">
        <f>(PortfolioData[[#This Row],[Current_Value]]-PortfolioData[[#This Row],[Purchase_Price]]+PortfolioData[[#This Row],[Net Operating Income (NOI)]]) / PortfolioData[[#This Row],[Purchase_Price]]</f>
        <v>0.17037306570466157</v>
      </c>
      <c r="Z122" s="5">
        <f>_xlfn.PERCENTRANK.INC(PortfolioData[ROI],PortfolioData[[#This Row],[ROI]])</f>
        <v>0.41599999999999998</v>
      </c>
      <c r="AA122" s="3" t="str">
        <f>IF(PortfolioData[[#This Row],[ROI_Percentile]]&lt;=0.1,"Underperforming","Healthy")</f>
        <v>Healthy</v>
      </c>
      <c r="AB122" s="3">
        <f>PortfolioData[[#This Row],[Debt_Outstanding]]/PortfolioData[[#This Row],[Current_Value]]</f>
        <v>0.38372607027522676</v>
      </c>
      <c r="AC122">
        <f>PortfolioData[[#This Row],[Units]]*PortfolioData[[#This Row],[Avg_Rent_per_Unit]]*12</f>
        <v>366624</v>
      </c>
      <c r="AD122" s="13">
        <f>PortfolioData[[#This Row],[Potential_Revenue]]-PortfolioData[[#This Row],[Gross_Rental_Income]]</f>
        <v>0</v>
      </c>
      <c r="AE122" s="3">
        <f>IFERROR(PortfolioData[[#This Row],[Vacancy_Loss]]/PortfolioData[[#This Row],[Potential_Revenue]],0)</f>
        <v>0</v>
      </c>
      <c r="AF122" s="17">
        <f xml:space="preserve"> (PortfolioData[[#This Row],[Vacancy_%]] * 0.4) + (PortfolioData[[#This Row],[Debt_Ratio]] * 0.3) + (PortfolioData[[#This Row],[Interest_Rate]]/100 * 0.3)</f>
        <v>0.13623782108256802</v>
      </c>
    </row>
    <row r="123" spans="1:32" x14ac:dyDescent="0.3">
      <c r="A123" t="s">
        <v>123</v>
      </c>
      <c r="B123" t="s">
        <v>15</v>
      </c>
      <c r="C123" t="s">
        <v>23</v>
      </c>
      <c r="D123">
        <v>2013</v>
      </c>
      <c r="E123">
        <v>14710664</v>
      </c>
      <c r="F123">
        <v>19589619.300000001</v>
      </c>
      <c r="G123">
        <v>35</v>
      </c>
      <c r="H123">
        <v>32</v>
      </c>
      <c r="I123">
        <v>3530</v>
      </c>
      <c r="J123">
        <v>590438</v>
      </c>
      <c r="K123">
        <v>494404</v>
      </c>
      <c r="L123">
        <v>5524639</v>
      </c>
      <c r="M123">
        <v>5.32</v>
      </c>
      <c r="N123" t="s">
        <v>17</v>
      </c>
      <c r="O123" s="5">
        <f>PortfolioData[[#This Row],[Occupied_Units]]*PortfolioData[[#This Row],[Avg_Rent_per_Unit]]*12</f>
        <v>1355520</v>
      </c>
      <c r="P123" s="3">
        <f>1-(PortfolioData[[#This Row],[Occupied_Units]]/PortfolioData[[#This Row],[Units]])</f>
        <v>8.5714285714285743E-2</v>
      </c>
      <c r="Q123" s="5">
        <f>PortfolioData[[#This Row],[Gross_Rental_Income]] - PortfolioData[[#This Row],[Operating_Cost]] - PortfolioData[[#This Row],[Maintenance_Cost]]</f>
        <v>270678</v>
      </c>
      <c r="R123" s="5">
        <f>PortfolioData[[#This Row],[Adjusted_Debt_Outstanding]]*(PortfolioData[[#This Row],[Interest_Rate]]/100)</f>
        <v>293910.79480000003</v>
      </c>
      <c r="S123" s="5">
        <f>MIN(PortfolioData[[#This Row],[Debt_Outstanding]], PortfolioData[[#This Row],[Current_Value]]*0.8)</f>
        <v>5524639</v>
      </c>
      <c r="T123" s="5">
        <f>PortfolioData[[#This Row],[Net Operating Income (NOI)]]/PortfolioData[[#This Row],[Annual_Debt_Service]]</f>
        <v>0.9209529040408011</v>
      </c>
      <c r="U123" s="5">
        <f>PortfolioData[[#This Row],[Net Operating Income (NOI)]]-PortfolioData[[#This Row],[Annual_Debt_Service]]</f>
        <v>-23232.794800000032</v>
      </c>
      <c r="V123" s="5">
        <f>PortfolioData[[#This Row],[Net Operating Income (NOI)]]</f>
        <v>270678</v>
      </c>
      <c r="W123" s="3">
        <f>PortfolioData[[#This Row],[Gross_Rental_Income]] / PortfolioData[[#This Row],[Purchase_Price]]</f>
        <v>9.2145398739309117E-2</v>
      </c>
      <c r="X123" s="3">
        <f>PortfolioData[[#This Row],[Net Operating Income (NOI)]]/PortfolioData[[#This Row],[Current_Value]]</f>
        <v>1.3817420127199715E-2</v>
      </c>
      <c r="Y123" s="3">
        <f>(PortfolioData[[#This Row],[Current_Value]]-PortfolioData[[#This Row],[Purchase_Price]]+PortfolioData[[#This Row],[Net Operating Income (NOI)]]) / PortfolioData[[#This Row],[Purchase_Price]]</f>
        <v>0.35006124128727301</v>
      </c>
      <c r="Z123" s="5">
        <f>_xlfn.PERCENTRANK.INC(PortfolioData[ROI],PortfolioData[[#This Row],[ROI]])</f>
        <v>0.78500000000000003</v>
      </c>
      <c r="AA123" s="3" t="str">
        <f>IF(PortfolioData[[#This Row],[ROI_Percentile]]&lt;=0.1,"Underperforming","Healthy")</f>
        <v>Healthy</v>
      </c>
      <c r="AB123" s="3">
        <f>PortfolioData[[#This Row],[Debt_Outstanding]]/PortfolioData[[#This Row],[Current_Value]]</f>
        <v>0.28201870160896897</v>
      </c>
      <c r="AC123">
        <f>PortfolioData[[#This Row],[Units]]*PortfolioData[[#This Row],[Avg_Rent_per_Unit]]*12</f>
        <v>1482600</v>
      </c>
      <c r="AD123" s="13">
        <f>PortfolioData[[#This Row],[Potential_Revenue]]-PortfolioData[[#This Row],[Gross_Rental_Income]]</f>
        <v>127080</v>
      </c>
      <c r="AE123" s="3">
        <f>IFERROR(PortfolioData[[#This Row],[Vacancy_Loss]]/PortfolioData[[#This Row],[Potential_Revenue]],0)</f>
        <v>8.5714285714285715E-2</v>
      </c>
      <c r="AF123" s="17">
        <f xml:space="preserve"> (PortfolioData[[#This Row],[Vacancy_%]] * 0.4) + (PortfolioData[[#This Row],[Debt_Ratio]] * 0.3) + (PortfolioData[[#This Row],[Interest_Rate]]/100 * 0.3)</f>
        <v>0.134851324768405</v>
      </c>
    </row>
    <row r="124" spans="1:32" x14ac:dyDescent="0.3">
      <c r="A124" t="s">
        <v>157</v>
      </c>
      <c r="B124" t="s">
        <v>35</v>
      </c>
      <c r="C124" t="s">
        <v>30</v>
      </c>
      <c r="D124">
        <v>2018</v>
      </c>
      <c r="E124">
        <v>14260871</v>
      </c>
      <c r="F124">
        <v>19249669.539999999</v>
      </c>
      <c r="G124">
        <v>69</v>
      </c>
      <c r="H124">
        <v>69</v>
      </c>
      <c r="I124">
        <v>1513</v>
      </c>
      <c r="J124">
        <v>290893</v>
      </c>
      <c r="K124">
        <v>162963</v>
      </c>
      <c r="L124">
        <v>7954423</v>
      </c>
      <c r="M124">
        <v>3.6</v>
      </c>
      <c r="N124" t="s">
        <v>17</v>
      </c>
      <c r="O124" s="5">
        <f>PortfolioData[[#This Row],[Occupied_Units]]*PortfolioData[[#This Row],[Avg_Rent_per_Unit]]*12</f>
        <v>1252764</v>
      </c>
      <c r="P124" s="3">
        <f>1-(PortfolioData[[#This Row],[Occupied_Units]]/PortfolioData[[#This Row],[Units]])</f>
        <v>0</v>
      </c>
      <c r="Q124" s="5">
        <f>PortfolioData[[#This Row],[Gross_Rental_Income]] - PortfolioData[[#This Row],[Operating_Cost]] - PortfolioData[[#This Row],[Maintenance_Cost]]</f>
        <v>798908</v>
      </c>
      <c r="R124" s="5">
        <f>PortfolioData[[#This Row],[Adjusted_Debt_Outstanding]]*(PortfolioData[[#This Row],[Interest_Rate]]/100)</f>
        <v>286359.22800000006</v>
      </c>
      <c r="S124" s="5">
        <f>MIN(PortfolioData[[#This Row],[Debt_Outstanding]], PortfolioData[[#This Row],[Current_Value]]*0.8)</f>
        <v>7954423</v>
      </c>
      <c r="T124" s="5">
        <f>PortfolioData[[#This Row],[Net Operating Income (NOI)]]/PortfolioData[[#This Row],[Annual_Debt_Service]]</f>
        <v>2.7898804085335773</v>
      </c>
      <c r="U124" s="5">
        <f>PortfolioData[[#This Row],[Net Operating Income (NOI)]]-PortfolioData[[#This Row],[Annual_Debt_Service]]</f>
        <v>512548.77199999994</v>
      </c>
      <c r="V124" s="5">
        <f>PortfolioData[[#This Row],[Net Operating Income (NOI)]]</f>
        <v>798908</v>
      </c>
      <c r="W124" s="3">
        <f>PortfolioData[[#This Row],[Gross_Rental_Income]] / PortfolioData[[#This Row],[Purchase_Price]]</f>
        <v>8.7846247259371471E-2</v>
      </c>
      <c r="X124" s="3">
        <f>PortfolioData[[#This Row],[Net Operating Income (NOI)]]/PortfolioData[[#This Row],[Current_Value]]</f>
        <v>4.1502426747633409E-2</v>
      </c>
      <c r="Y124" s="3">
        <f>(PortfolioData[[#This Row],[Current_Value]]-PortfolioData[[#This Row],[Purchase_Price]]+PortfolioData[[#This Row],[Net Operating Income (NOI)]]) / PortfolioData[[#This Row],[Purchase_Price]]</f>
        <v>0.40584523483874158</v>
      </c>
      <c r="Z124" s="5">
        <f>_xlfn.PERCENTRANK.INC(PortfolioData[ROI],PortfolioData[[#This Row],[ROI]])</f>
        <v>0.872</v>
      </c>
      <c r="AA124" s="3" t="str">
        <f>IF(PortfolioData[[#This Row],[ROI_Percentile]]&lt;=0.1,"Underperforming","Healthy")</f>
        <v>Healthy</v>
      </c>
      <c r="AB124" s="3">
        <f>PortfolioData[[#This Row],[Debt_Outstanding]]/PortfolioData[[#This Row],[Current_Value]]</f>
        <v>0.41322387293304153</v>
      </c>
      <c r="AC124">
        <f>PortfolioData[[#This Row],[Units]]*PortfolioData[[#This Row],[Avg_Rent_per_Unit]]*12</f>
        <v>1252764</v>
      </c>
      <c r="AD124" s="13">
        <f>PortfolioData[[#This Row],[Potential_Revenue]]-PortfolioData[[#This Row],[Gross_Rental_Income]]</f>
        <v>0</v>
      </c>
      <c r="AE124" s="3">
        <f>IFERROR(PortfolioData[[#This Row],[Vacancy_Loss]]/PortfolioData[[#This Row],[Potential_Revenue]],0)</f>
        <v>0</v>
      </c>
      <c r="AF124" s="17">
        <f xml:space="preserve"> (PortfolioData[[#This Row],[Vacancy_%]] * 0.4) + (PortfolioData[[#This Row],[Debt_Ratio]] * 0.3) + (PortfolioData[[#This Row],[Interest_Rate]]/100 * 0.3)</f>
        <v>0.13476716187991244</v>
      </c>
    </row>
    <row r="125" spans="1:32" x14ac:dyDescent="0.3">
      <c r="A125" t="s">
        <v>134</v>
      </c>
      <c r="B125" t="s">
        <v>22</v>
      </c>
      <c r="C125" t="s">
        <v>16</v>
      </c>
      <c r="D125">
        <v>2017</v>
      </c>
      <c r="E125">
        <v>19946488</v>
      </c>
      <c r="F125">
        <v>26202023.899999999</v>
      </c>
      <c r="G125">
        <v>39</v>
      </c>
      <c r="H125">
        <v>31</v>
      </c>
      <c r="I125">
        <v>3960</v>
      </c>
      <c r="J125">
        <v>593551</v>
      </c>
      <c r="K125">
        <v>215704</v>
      </c>
      <c r="L125">
        <v>2569123</v>
      </c>
      <c r="M125">
        <v>6.69</v>
      </c>
      <c r="N125" t="s">
        <v>17</v>
      </c>
      <c r="O125" s="5">
        <f>PortfolioData[[#This Row],[Occupied_Units]]*PortfolioData[[#This Row],[Avg_Rent_per_Unit]]*12</f>
        <v>1473120</v>
      </c>
      <c r="P125" s="3">
        <f>1-(PortfolioData[[#This Row],[Occupied_Units]]/PortfolioData[[#This Row],[Units]])</f>
        <v>0.20512820512820518</v>
      </c>
      <c r="Q125" s="5">
        <f>PortfolioData[[#This Row],[Gross_Rental_Income]] - PortfolioData[[#This Row],[Operating_Cost]] - PortfolioData[[#This Row],[Maintenance_Cost]]</f>
        <v>663865</v>
      </c>
      <c r="R125" s="5">
        <f>PortfolioData[[#This Row],[Adjusted_Debt_Outstanding]]*(PortfolioData[[#This Row],[Interest_Rate]]/100)</f>
        <v>171874.32870000001</v>
      </c>
      <c r="S125" s="5">
        <f>MIN(PortfolioData[[#This Row],[Debt_Outstanding]], PortfolioData[[#This Row],[Current_Value]]*0.8)</f>
        <v>2569123</v>
      </c>
      <c r="T125" s="5">
        <f>PortfolioData[[#This Row],[Net Operating Income (NOI)]]/PortfolioData[[#This Row],[Annual_Debt_Service]]</f>
        <v>3.8625023586783032</v>
      </c>
      <c r="U125" s="5">
        <f>PortfolioData[[#This Row],[Net Operating Income (NOI)]]-PortfolioData[[#This Row],[Annual_Debt_Service]]</f>
        <v>491990.67129999999</v>
      </c>
      <c r="V125" s="5">
        <f>PortfolioData[[#This Row],[Net Operating Income (NOI)]]</f>
        <v>663865</v>
      </c>
      <c r="W125" s="3">
        <f>PortfolioData[[#This Row],[Gross_Rental_Income]] / PortfolioData[[#This Row],[Purchase_Price]]</f>
        <v>7.3853602699382473E-2</v>
      </c>
      <c r="X125" s="3">
        <f>PortfolioData[[#This Row],[Net Operating Income (NOI)]]/PortfolioData[[#This Row],[Current_Value]]</f>
        <v>2.5336401589955045E-2</v>
      </c>
      <c r="Y125" s="3">
        <f>(PortfolioData[[#This Row],[Current_Value]]-PortfolioData[[#This Row],[Purchase_Price]]+PortfolioData[[#This Row],[Net Operating Income (NOI)]]) / PortfolioData[[#This Row],[Purchase_Price]]</f>
        <v>0.34689820583954423</v>
      </c>
      <c r="Z125" s="5">
        <f>_xlfn.PERCENTRANK.INC(PortfolioData[ROI],PortfolioData[[#This Row],[ROI]])</f>
        <v>0.76500000000000001</v>
      </c>
      <c r="AA125" s="3" t="str">
        <f>IF(PortfolioData[[#This Row],[ROI_Percentile]]&lt;=0.1,"Underperforming","Healthy")</f>
        <v>Healthy</v>
      </c>
      <c r="AB125" s="3">
        <f>PortfolioData[[#This Row],[Debt_Outstanding]]/PortfolioData[[#This Row],[Current_Value]]</f>
        <v>9.8050555552695304E-2</v>
      </c>
      <c r="AC125">
        <f>PortfolioData[[#This Row],[Units]]*PortfolioData[[#This Row],[Avg_Rent_per_Unit]]*12</f>
        <v>1853280</v>
      </c>
      <c r="AD125" s="13">
        <f>PortfolioData[[#This Row],[Potential_Revenue]]-PortfolioData[[#This Row],[Gross_Rental_Income]]</f>
        <v>380160</v>
      </c>
      <c r="AE125" s="3">
        <f>IFERROR(PortfolioData[[#This Row],[Vacancy_Loss]]/PortfolioData[[#This Row],[Potential_Revenue]],0)</f>
        <v>0.20512820512820512</v>
      </c>
      <c r="AF125" s="17">
        <f xml:space="preserve"> (PortfolioData[[#This Row],[Vacancy_%]] * 0.4) + (PortfolioData[[#This Row],[Debt_Ratio]] * 0.3) + (PortfolioData[[#This Row],[Interest_Rate]]/100 * 0.3)</f>
        <v>0.13153644871709066</v>
      </c>
    </row>
    <row r="126" spans="1:32" x14ac:dyDescent="0.3">
      <c r="A126" t="s">
        <v>131</v>
      </c>
      <c r="B126" t="s">
        <v>35</v>
      </c>
      <c r="C126" t="s">
        <v>20</v>
      </c>
      <c r="D126">
        <v>2014</v>
      </c>
      <c r="E126">
        <v>10637641</v>
      </c>
      <c r="F126">
        <v>11586315.699999999</v>
      </c>
      <c r="G126">
        <v>67</v>
      </c>
      <c r="H126">
        <v>65</v>
      </c>
      <c r="I126">
        <v>3535</v>
      </c>
      <c r="J126">
        <v>608445</v>
      </c>
      <c r="K126">
        <v>481622</v>
      </c>
      <c r="L126">
        <v>3725248</v>
      </c>
      <c r="M126">
        <v>6.02</v>
      </c>
      <c r="N126" t="s">
        <v>24</v>
      </c>
      <c r="O126" s="5">
        <f>PortfolioData[[#This Row],[Occupied_Units]]*PortfolioData[[#This Row],[Avg_Rent_per_Unit]]*12</f>
        <v>2757300</v>
      </c>
      <c r="P126" s="3">
        <f>1-(PortfolioData[[#This Row],[Occupied_Units]]/PortfolioData[[#This Row],[Units]])</f>
        <v>2.9850746268656692E-2</v>
      </c>
      <c r="Q126" s="5">
        <f>PortfolioData[[#This Row],[Gross_Rental_Income]] - PortfolioData[[#This Row],[Operating_Cost]] - PortfolioData[[#This Row],[Maintenance_Cost]]</f>
        <v>1667233</v>
      </c>
      <c r="R126" s="5">
        <f>PortfolioData[[#This Row],[Adjusted_Debt_Outstanding]]*(PortfolioData[[#This Row],[Interest_Rate]]/100)</f>
        <v>224259.92959999997</v>
      </c>
      <c r="S126" s="5">
        <f>MIN(PortfolioData[[#This Row],[Debt_Outstanding]], PortfolioData[[#This Row],[Current_Value]]*0.8)</f>
        <v>3725248</v>
      </c>
      <c r="T126" s="5">
        <f>PortfolioData[[#This Row],[Net Operating Income (NOI)]]/PortfolioData[[#This Row],[Annual_Debt_Service]]</f>
        <v>7.4343776125041652</v>
      </c>
      <c r="U126" s="5">
        <f>PortfolioData[[#This Row],[Net Operating Income (NOI)]]-PortfolioData[[#This Row],[Annual_Debt_Service]]</f>
        <v>1442973.0704000001</v>
      </c>
      <c r="V126" s="5">
        <f>PortfolioData[[#This Row],[Net Operating Income (NOI)]]</f>
        <v>1667233</v>
      </c>
      <c r="W126" s="3">
        <f>PortfolioData[[#This Row],[Gross_Rental_Income]] / PortfolioData[[#This Row],[Purchase_Price]]</f>
        <v>0.25920220469933136</v>
      </c>
      <c r="X126" s="3">
        <f>PortfolioData[[#This Row],[Net Operating Income (NOI)]]/PortfolioData[[#This Row],[Current_Value]]</f>
        <v>0.14389673500783343</v>
      </c>
      <c r="Y126" s="3">
        <f>(PortfolioData[[#This Row],[Current_Value]]-PortfolioData[[#This Row],[Purchase_Price]]+PortfolioData[[#This Row],[Net Operating Income (NOI)]]) / PortfolioData[[#This Row],[Purchase_Price]]</f>
        <v>0.24591050779021395</v>
      </c>
      <c r="Z126" s="5">
        <f>_xlfn.PERCENTRANK.INC(PortfolioData[ROI],PortfolioData[[#This Row],[ROI]])</f>
        <v>0.54300000000000004</v>
      </c>
      <c r="AA126" s="3" t="str">
        <f>IF(PortfolioData[[#This Row],[ROI_Percentile]]&lt;=0.1,"Underperforming","Healthy")</f>
        <v>Healthy</v>
      </c>
      <c r="AB126" s="3">
        <f>PortfolioData[[#This Row],[Debt_Outstanding]]/PortfolioData[[#This Row],[Current_Value]]</f>
        <v>0.3215213616179991</v>
      </c>
      <c r="AC126">
        <f>PortfolioData[[#This Row],[Units]]*PortfolioData[[#This Row],[Avg_Rent_per_Unit]]*12</f>
        <v>2842140</v>
      </c>
      <c r="AD126" s="13">
        <f>PortfolioData[[#This Row],[Potential_Revenue]]-PortfolioData[[#This Row],[Gross_Rental_Income]]</f>
        <v>84840</v>
      </c>
      <c r="AE126" s="3">
        <f>IFERROR(PortfolioData[[#This Row],[Vacancy_Loss]]/PortfolioData[[#This Row],[Potential_Revenue]],0)</f>
        <v>2.9850746268656716E-2</v>
      </c>
      <c r="AF126" s="17">
        <f xml:space="preserve"> (PortfolioData[[#This Row],[Vacancy_%]] * 0.4) + (PortfolioData[[#This Row],[Debt_Ratio]] * 0.3) + (PortfolioData[[#This Row],[Interest_Rate]]/100 * 0.3)</f>
        <v>0.12645670699286241</v>
      </c>
    </row>
    <row r="127" spans="1:32" x14ac:dyDescent="0.3">
      <c r="A127" t="s">
        <v>64</v>
      </c>
      <c r="B127" t="s">
        <v>19</v>
      </c>
      <c r="C127" t="s">
        <v>23</v>
      </c>
      <c r="D127">
        <v>2012</v>
      </c>
      <c r="E127">
        <v>24479136</v>
      </c>
      <c r="F127">
        <v>32006303.969999999</v>
      </c>
      <c r="G127">
        <v>54</v>
      </c>
      <c r="H127">
        <v>49</v>
      </c>
      <c r="I127">
        <v>3009</v>
      </c>
      <c r="J127">
        <v>403932</v>
      </c>
      <c r="K127">
        <v>229165</v>
      </c>
      <c r="L127">
        <v>8092722</v>
      </c>
      <c r="M127">
        <v>4.1900000000000004</v>
      </c>
      <c r="N127" t="s">
        <v>24</v>
      </c>
      <c r="O127" s="5">
        <f>PortfolioData[[#This Row],[Occupied_Units]]*PortfolioData[[#This Row],[Avg_Rent_per_Unit]]*12</f>
        <v>1769292</v>
      </c>
      <c r="P127" s="3">
        <f>1-(PortfolioData[[#This Row],[Occupied_Units]]/PortfolioData[[#This Row],[Units]])</f>
        <v>9.259259259259256E-2</v>
      </c>
      <c r="Q127" s="5">
        <f>PortfolioData[[#This Row],[Gross_Rental_Income]] - PortfolioData[[#This Row],[Operating_Cost]] - PortfolioData[[#This Row],[Maintenance_Cost]]</f>
        <v>1136195</v>
      </c>
      <c r="R127" s="5">
        <f>PortfolioData[[#This Row],[Adjusted_Debt_Outstanding]]*(PortfolioData[[#This Row],[Interest_Rate]]/100)</f>
        <v>339085.05180000007</v>
      </c>
      <c r="S127" s="5">
        <f>MIN(PortfolioData[[#This Row],[Debt_Outstanding]], PortfolioData[[#This Row],[Current_Value]]*0.8)</f>
        <v>8092722</v>
      </c>
      <c r="T127" s="5">
        <f>PortfolioData[[#This Row],[Net Operating Income (NOI)]]/PortfolioData[[#This Row],[Annual_Debt_Service]]</f>
        <v>3.35076699479561</v>
      </c>
      <c r="U127" s="5">
        <f>PortfolioData[[#This Row],[Net Operating Income (NOI)]]-PortfolioData[[#This Row],[Annual_Debt_Service]]</f>
        <v>797109.94819999998</v>
      </c>
      <c r="V127" s="5">
        <f>PortfolioData[[#This Row],[Net Operating Income (NOI)]]</f>
        <v>1136195</v>
      </c>
      <c r="W127" s="3">
        <f>PortfolioData[[#This Row],[Gross_Rental_Income]] / PortfolioData[[#This Row],[Purchase_Price]]</f>
        <v>7.2277550972387264E-2</v>
      </c>
      <c r="X127" s="3">
        <f>PortfolioData[[#This Row],[Net Operating Income (NOI)]]/PortfolioData[[#This Row],[Current_Value]]</f>
        <v>3.5499100460489694E-2</v>
      </c>
      <c r="Y127" s="3">
        <f>(PortfolioData[[#This Row],[Current_Value]]-PortfolioData[[#This Row],[Purchase_Price]]+PortfolioData[[#This Row],[Net Operating Income (NOI)]]) / PortfolioData[[#This Row],[Purchase_Price]]</f>
        <v>0.35390803703202589</v>
      </c>
      <c r="Z127" s="5">
        <f>_xlfn.PERCENTRANK.INC(PortfolioData[ROI],PortfolioData[[#This Row],[ROI]])</f>
        <v>0.79100000000000004</v>
      </c>
      <c r="AA127" s="3" t="str">
        <f>IF(PortfolioData[[#This Row],[ROI_Percentile]]&lt;=0.1,"Underperforming","Healthy")</f>
        <v>Healthy</v>
      </c>
      <c r="AB127" s="3">
        <f>PortfolioData[[#This Row],[Debt_Outstanding]]/PortfolioData[[#This Row],[Current_Value]]</f>
        <v>0.252847751729954</v>
      </c>
      <c r="AC127">
        <f>PortfolioData[[#This Row],[Units]]*PortfolioData[[#This Row],[Avg_Rent_per_Unit]]*12</f>
        <v>1949832</v>
      </c>
      <c r="AD127" s="13">
        <f>PortfolioData[[#This Row],[Potential_Revenue]]-PortfolioData[[#This Row],[Gross_Rental_Income]]</f>
        <v>180540</v>
      </c>
      <c r="AE127" s="3">
        <f>IFERROR(PortfolioData[[#This Row],[Vacancy_Loss]]/PortfolioData[[#This Row],[Potential_Revenue]],0)</f>
        <v>9.2592592592592587E-2</v>
      </c>
      <c r="AF127" s="17">
        <f xml:space="preserve"> (PortfolioData[[#This Row],[Vacancy_%]] * 0.4) + (PortfolioData[[#This Row],[Debt_Ratio]] * 0.3) + (PortfolioData[[#This Row],[Interest_Rate]]/100 * 0.3)</f>
        <v>0.12546136255602322</v>
      </c>
    </row>
    <row r="128" spans="1:32" x14ac:dyDescent="0.3">
      <c r="A128" t="s">
        <v>171</v>
      </c>
      <c r="B128" t="s">
        <v>27</v>
      </c>
      <c r="C128" t="s">
        <v>16</v>
      </c>
      <c r="D128">
        <v>2017</v>
      </c>
      <c r="E128">
        <v>22932931</v>
      </c>
      <c r="F128">
        <v>24255836.359999999</v>
      </c>
      <c r="G128">
        <v>19</v>
      </c>
      <c r="H128">
        <v>17</v>
      </c>
      <c r="I128">
        <v>5842</v>
      </c>
      <c r="J128">
        <v>874024</v>
      </c>
      <c r="K128">
        <v>350878</v>
      </c>
      <c r="L128">
        <v>4961795</v>
      </c>
      <c r="M128">
        <v>6.98</v>
      </c>
      <c r="N128" t="s">
        <v>17</v>
      </c>
      <c r="O128" s="5">
        <f>PortfolioData[[#This Row],[Occupied_Units]]*PortfolioData[[#This Row],[Avg_Rent_per_Unit]]*12</f>
        <v>1191768</v>
      </c>
      <c r="P128" s="3">
        <f>1-(PortfolioData[[#This Row],[Occupied_Units]]/PortfolioData[[#This Row],[Units]])</f>
        <v>0.10526315789473684</v>
      </c>
      <c r="Q128" s="5">
        <f>PortfolioData[[#This Row],[Gross_Rental_Income]] - PortfolioData[[#This Row],[Operating_Cost]] - PortfolioData[[#This Row],[Maintenance_Cost]]</f>
        <v>-33134</v>
      </c>
      <c r="R128" s="5">
        <f>PortfolioData[[#This Row],[Adjusted_Debt_Outstanding]]*(PortfolioData[[#This Row],[Interest_Rate]]/100)</f>
        <v>346333.29100000003</v>
      </c>
      <c r="S128" s="5">
        <f>MIN(PortfolioData[[#This Row],[Debt_Outstanding]], PortfolioData[[#This Row],[Current_Value]]*0.8)</f>
        <v>4961795</v>
      </c>
      <c r="T128" s="5">
        <f>PortfolioData[[#This Row],[Net Operating Income (NOI)]]/PortfolioData[[#This Row],[Annual_Debt_Service]]</f>
        <v>-9.5670849037726491E-2</v>
      </c>
      <c r="U128" s="5">
        <f>PortfolioData[[#This Row],[Net Operating Income (NOI)]]-PortfolioData[[#This Row],[Annual_Debt_Service]]</f>
        <v>-379467.29100000003</v>
      </c>
      <c r="V128" s="5">
        <f>PortfolioData[[#This Row],[Net Operating Income (NOI)]]</f>
        <v>-33134</v>
      </c>
      <c r="W128" s="3">
        <f>PortfolioData[[#This Row],[Gross_Rental_Income]] / PortfolioData[[#This Row],[Purchase_Price]]</f>
        <v>5.1967539604946267E-2</v>
      </c>
      <c r="X128" s="3">
        <f>PortfolioData[[#This Row],[Net Operating Income (NOI)]]/PortfolioData[[#This Row],[Current_Value]]</f>
        <v>-1.3660217486724502E-3</v>
      </c>
      <c r="Y128" s="3">
        <f>(PortfolioData[[#This Row],[Current_Value]]-PortfolioData[[#This Row],[Purchase_Price]]+PortfolioData[[#This Row],[Net Operating Income (NOI)]]) / PortfolioData[[#This Row],[Purchase_Price]]</f>
        <v>5.6241016902723831E-2</v>
      </c>
      <c r="Z128" s="5">
        <f>_xlfn.PERCENTRANK.INC(PortfolioData[ROI],PortfolioData[[#This Row],[ROI]])</f>
        <v>0.22800000000000001</v>
      </c>
      <c r="AA128" s="3" t="str">
        <f>IF(PortfolioData[[#This Row],[ROI_Percentile]]&lt;=0.1,"Underperforming","Healthy")</f>
        <v>Healthy</v>
      </c>
      <c r="AB128" s="3">
        <f>PortfolioData[[#This Row],[Debt_Outstanding]]/PortfolioData[[#This Row],[Current_Value]]</f>
        <v>0.20456087047909158</v>
      </c>
      <c r="AC128">
        <f>PortfolioData[[#This Row],[Units]]*PortfolioData[[#This Row],[Avg_Rent_per_Unit]]*12</f>
        <v>1331976</v>
      </c>
      <c r="AD128" s="13">
        <f>PortfolioData[[#This Row],[Potential_Revenue]]-PortfolioData[[#This Row],[Gross_Rental_Income]]</f>
        <v>140208</v>
      </c>
      <c r="AE128" s="3">
        <f>IFERROR(PortfolioData[[#This Row],[Vacancy_Loss]]/PortfolioData[[#This Row],[Potential_Revenue]],0)</f>
        <v>0.10526315789473684</v>
      </c>
      <c r="AF128" s="17">
        <f xml:space="preserve"> (PortfolioData[[#This Row],[Vacancy_%]] * 0.4) + (PortfolioData[[#This Row],[Debt_Ratio]] * 0.3) + (PortfolioData[[#This Row],[Interest_Rate]]/100 * 0.3)</f>
        <v>0.12441352430162221</v>
      </c>
    </row>
    <row r="129" spans="1:32" x14ac:dyDescent="0.3">
      <c r="A129" t="s">
        <v>127</v>
      </c>
      <c r="B129" t="s">
        <v>35</v>
      </c>
      <c r="C129" t="s">
        <v>23</v>
      </c>
      <c r="D129">
        <v>2013</v>
      </c>
      <c r="E129">
        <v>23714891</v>
      </c>
      <c r="F129">
        <v>31612476.02</v>
      </c>
      <c r="G129">
        <v>70</v>
      </c>
      <c r="H129">
        <v>63</v>
      </c>
      <c r="I129">
        <v>4820</v>
      </c>
      <c r="J129">
        <v>558168</v>
      </c>
      <c r="K129">
        <v>153046</v>
      </c>
      <c r="L129">
        <v>6966094</v>
      </c>
      <c r="M129">
        <v>5.9</v>
      </c>
      <c r="N129" t="s">
        <v>24</v>
      </c>
      <c r="O129" s="5">
        <f>PortfolioData[[#This Row],[Occupied_Units]]*PortfolioData[[#This Row],[Avg_Rent_per_Unit]]*12</f>
        <v>3643920</v>
      </c>
      <c r="P129" s="3">
        <f>1-(PortfolioData[[#This Row],[Occupied_Units]]/PortfolioData[[#This Row],[Units]])</f>
        <v>9.9999999999999978E-2</v>
      </c>
      <c r="Q129" s="5">
        <f>PortfolioData[[#This Row],[Gross_Rental_Income]] - PortfolioData[[#This Row],[Operating_Cost]] - PortfolioData[[#This Row],[Maintenance_Cost]]</f>
        <v>2932706</v>
      </c>
      <c r="R129" s="5">
        <f>PortfolioData[[#This Row],[Adjusted_Debt_Outstanding]]*(PortfolioData[[#This Row],[Interest_Rate]]/100)</f>
        <v>410999.54600000003</v>
      </c>
      <c r="S129" s="5">
        <f>MIN(PortfolioData[[#This Row],[Debt_Outstanding]], PortfolioData[[#This Row],[Current_Value]]*0.8)</f>
        <v>6966094</v>
      </c>
      <c r="T129" s="5">
        <f>PortfolioData[[#This Row],[Net Operating Income (NOI)]]/PortfolioData[[#This Row],[Annual_Debt_Service]]</f>
        <v>7.1355455949822382</v>
      </c>
      <c r="U129" s="5">
        <f>PortfolioData[[#This Row],[Net Operating Income (NOI)]]-PortfolioData[[#This Row],[Annual_Debt_Service]]</f>
        <v>2521706.4539999999</v>
      </c>
      <c r="V129" s="5">
        <f>PortfolioData[[#This Row],[Net Operating Income (NOI)]]</f>
        <v>2932706</v>
      </c>
      <c r="W129" s="3">
        <f>PortfolioData[[#This Row],[Gross_Rental_Income]] / PortfolioData[[#This Row],[Purchase_Price]]</f>
        <v>0.1536553551943376</v>
      </c>
      <c r="X129" s="3">
        <f>PortfolioData[[#This Row],[Net Operating Income (NOI)]]/PortfolioData[[#This Row],[Current_Value]]</f>
        <v>9.2770525097261899E-2</v>
      </c>
      <c r="Y129" s="3">
        <f>(PortfolioData[[#This Row],[Current_Value]]-PortfolioData[[#This Row],[Purchase_Price]]+PortfolioData[[#This Row],[Net Operating Income (NOI)]]) / PortfolioData[[#This Row],[Purchase_Price]]</f>
        <v>0.45668736238340712</v>
      </c>
      <c r="Z129" s="5">
        <f>_xlfn.PERCENTRANK.INC(PortfolioData[ROI],PortfolioData[[#This Row],[ROI]])</f>
        <v>0.91900000000000004</v>
      </c>
      <c r="AA129" s="3" t="str">
        <f>IF(PortfolioData[[#This Row],[ROI_Percentile]]&lt;=0.1,"Underperforming","Healthy")</f>
        <v>Healthy</v>
      </c>
      <c r="AB129" s="3">
        <f>PortfolioData[[#This Row],[Debt_Outstanding]]/PortfolioData[[#This Row],[Current_Value]]</f>
        <v>0.22035901254912205</v>
      </c>
      <c r="AC129">
        <f>PortfolioData[[#This Row],[Units]]*PortfolioData[[#This Row],[Avg_Rent_per_Unit]]*12</f>
        <v>4048800</v>
      </c>
      <c r="AD129" s="13">
        <f>PortfolioData[[#This Row],[Potential_Revenue]]-PortfolioData[[#This Row],[Gross_Rental_Income]]</f>
        <v>404880</v>
      </c>
      <c r="AE129" s="3">
        <f>IFERROR(PortfolioData[[#This Row],[Vacancy_Loss]]/PortfolioData[[#This Row],[Potential_Revenue]],0)</f>
        <v>0.1</v>
      </c>
      <c r="AF129" s="17">
        <f xml:space="preserve"> (PortfolioData[[#This Row],[Vacancy_%]] * 0.4) + (PortfolioData[[#This Row],[Debt_Ratio]] * 0.3) + (PortfolioData[[#This Row],[Interest_Rate]]/100 * 0.3)</f>
        <v>0.1238077037647366</v>
      </c>
    </row>
    <row r="130" spans="1:32" x14ac:dyDescent="0.3">
      <c r="A130" t="s">
        <v>77</v>
      </c>
      <c r="B130" t="s">
        <v>15</v>
      </c>
      <c r="C130" t="s">
        <v>16</v>
      </c>
      <c r="D130">
        <v>2021</v>
      </c>
      <c r="E130">
        <v>12145581</v>
      </c>
      <c r="F130">
        <v>14034302.33</v>
      </c>
      <c r="G130">
        <v>51</v>
      </c>
      <c r="H130">
        <v>45</v>
      </c>
      <c r="I130">
        <v>5092</v>
      </c>
      <c r="J130">
        <v>614196</v>
      </c>
      <c r="K130">
        <v>300975</v>
      </c>
      <c r="L130">
        <v>2988772</v>
      </c>
      <c r="M130">
        <v>3.87</v>
      </c>
      <c r="N130" t="s">
        <v>17</v>
      </c>
      <c r="O130" s="5">
        <f>PortfolioData[[#This Row],[Occupied_Units]]*PortfolioData[[#This Row],[Avg_Rent_per_Unit]]*12</f>
        <v>2749680</v>
      </c>
      <c r="P130" s="3">
        <f>1-(PortfolioData[[#This Row],[Occupied_Units]]/PortfolioData[[#This Row],[Units]])</f>
        <v>0.11764705882352944</v>
      </c>
      <c r="Q130" s="5">
        <f>PortfolioData[[#This Row],[Gross_Rental_Income]] - PortfolioData[[#This Row],[Operating_Cost]] - PortfolioData[[#This Row],[Maintenance_Cost]]</f>
        <v>1834509</v>
      </c>
      <c r="R130" s="5">
        <f>PortfolioData[[#This Row],[Adjusted_Debt_Outstanding]]*(PortfolioData[[#This Row],[Interest_Rate]]/100)</f>
        <v>115665.4764</v>
      </c>
      <c r="S130" s="5">
        <f>MIN(PortfolioData[[#This Row],[Debt_Outstanding]], PortfolioData[[#This Row],[Current_Value]]*0.8)</f>
        <v>2988772</v>
      </c>
      <c r="T130" s="5">
        <f>PortfolioData[[#This Row],[Net Operating Income (NOI)]]/PortfolioData[[#This Row],[Annual_Debt_Service]]</f>
        <v>15.860471569371413</v>
      </c>
      <c r="U130" s="5">
        <f>PortfolioData[[#This Row],[Net Operating Income (NOI)]]-PortfolioData[[#This Row],[Annual_Debt_Service]]</f>
        <v>1718843.5236</v>
      </c>
      <c r="V130" s="5">
        <f>PortfolioData[[#This Row],[Net Operating Income (NOI)]]</f>
        <v>1834509</v>
      </c>
      <c r="W130" s="3">
        <f>PortfolioData[[#This Row],[Gross_Rental_Income]] / PortfolioData[[#This Row],[Purchase_Price]]</f>
        <v>0.2263934512478242</v>
      </c>
      <c r="X130" s="3">
        <f>PortfolioData[[#This Row],[Net Operating Income (NOI)]]/PortfolioData[[#This Row],[Current_Value]]</f>
        <v>0.13071608098954215</v>
      </c>
      <c r="Y130" s="3">
        <f>(PortfolioData[[#This Row],[Current_Value]]-PortfolioData[[#This Row],[Purchase_Price]]+PortfolioData[[#This Row],[Net Operating Income (NOI)]]) / PortfolioData[[#This Row],[Purchase_Price]]</f>
        <v>0.3065502037325345</v>
      </c>
      <c r="Z130" s="5">
        <f>_xlfn.PERCENTRANK.INC(PortfolioData[ROI],PortfolioData[[#This Row],[ROI]])</f>
        <v>0.68400000000000005</v>
      </c>
      <c r="AA130" s="3" t="str">
        <f>IF(PortfolioData[[#This Row],[ROI_Percentile]]&lt;=0.1,"Underperforming","Healthy")</f>
        <v>Healthy</v>
      </c>
      <c r="AB130" s="3">
        <f>PortfolioData[[#This Row],[Debt_Outstanding]]/PortfolioData[[#This Row],[Current_Value]]</f>
        <v>0.21296192213353865</v>
      </c>
      <c r="AC130">
        <f>PortfolioData[[#This Row],[Units]]*PortfolioData[[#This Row],[Avg_Rent_per_Unit]]*12</f>
        <v>3116304</v>
      </c>
      <c r="AD130" s="13">
        <f>PortfolioData[[#This Row],[Potential_Revenue]]-PortfolioData[[#This Row],[Gross_Rental_Income]]</f>
        <v>366624</v>
      </c>
      <c r="AE130" s="3">
        <f>IFERROR(PortfolioData[[#This Row],[Vacancy_Loss]]/PortfolioData[[#This Row],[Potential_Revenue]],0)</f>
        <v>0.11764705882352941</v>
      </c>
      <c r="AF130" s="17">
        <f xml:space="preserve"> (PortfolioData[[#This Row],[Vacancy_%]] * 0.4) + (PortfolioData[[#This Row],[Debt_Ratio]] * 0.3) + (PortfolioData[[#This Row],[Interest_Rate]]/100 * 0.3)</f>
        <v>0.12255740016947336</v>
      </c>
    </row>
    <row r="131" spans="1:32" x14ac:dyDescent="0.3">
      <c r="A131" t="s">
        <v>29</v>
      </c>
      <c r="B131" t="s">
        <v>27</v>
      </c>
      <c r="C131" t="s">
        <v>30</v>
      </c>
      <c r="D131">
        <v>2010</v>
      </c>
      <c r="E131">
        <v>22311925</v>
      </c>
      <c r="F131">
        <v>25985804.140000001</v>
      </c>
      <c r="G131">
        <v>31</v>
      </c>
      <c r="H131">
        <v>27</v>
      </c>
      <c r="I131">
        <v>5166</v>
      </c>
      <c r="J131">
        <v>297893</v>
      </c>
      <c r="K131">
        <v>231978</v>
      </c>
      <c r="L131">
        <v>4863066</v>
      </c>
      <c r="M131">
        <v>4.87</v>
      </c>
      <c r="N131" t="s">
        <v>24</v>
      </c>
      <c r="O131" s="5">
        <f>PortfolioData[[#This Row],[Occupied_Units]]*PortfolioData[[#This Row],[Avg_Rent_per_Unit]]*12</f>
        <v>1673784</v>
      </c>
      <c r="P131" s="3">
        <f>1-(PortfolioData[[#This Row],[Occupied_Units]]/PortfolioData[[#This Row],[Units]])</f>
        <v>0.12903225806451613</v>
      </c>
      <c r="Q131" s="5">
        <f>PortfolioData[[#This Row],[Gross_Rental_Income]] - PortfolioData[[#This Row],[Operating_Cost]] - PortfolioData[[#This Row],[Maintenance_Cost]]</f>
        <v>1143913</v>
      </c>
      <c r="R131" s="5">
        <f>PortfolioData[[#This Row],[Adjusted_Debt_Outstanding]]*(PortfolioData[[#This Row],[Interest_Rate]]/100)</f>
        <v>236831.31419999999</v>
      </c>
      <c r="S131" s="5">
        <f>MIN(PortfolioData[[#This Row],[Debt_Outstanding]], PortfolioData[[#This Row],[Current_Value]]*0.8)</f>
        <v>4863066</v>
      </c>
      <c r="T131" s="5">
        <f>PortfolioData[[#This Row],[Net Operating Income (NOI)]]/PortfolioData[[#This Row],[Annual_Debt_Service]]</f>
        <v>4.8300749580521476</v>
      </c>
      <c r="U131" s="5">
        <f>PortfolioData[[#This Row],[Net Operating Income (NOI)]]-PortfolioData[[#This Row],[Annual_Debt_Service]]</f>
        <v>907081.68579999998</v>
      </c>
      <c r="V131" s="5">
        <f>PortfolioData[[#This Row],[Net Operating Income (NOI)]]</f>
        <v>1143913</v>
      </c>
      <c r="W131" s="3">
        <f>PortfolioData[[#This Row],[Gross_Rental_Income]] / PortfolioData[[#This Row],[Purchase_Price]]</f>
        <v>7.5017462634891438E-2</v>
      </c>
      <c r="X131" s="3">
        <f>PortfolioData[[#This Row],[Net Operating Income (NOI)]]/PortfolioData[[#This Row],[Current_Value]]</f>
        <v>4.4020688905261639E-2</v>
      </c>
      <c r="Y131" s="3">
        <f>(PortfolioData[[#This Row],[Current_Value]]-PortfolioData[[#This Row],[Purchase_Price]]+PortfolioData[[#This Row],[Net Operating Income (NOI)]]) / PortfolioData[[#This Row],[Purchase_Price]]</f>
        <v>0.21592902181232684</v>
      </c>
      <c r="Z131" s="5">
        <f>_xlfn.PERCENTRANK.INC(PortfolioData[ROI],PortfolioData[[#This Row],[ROI]])</f>
        <v>0.46899999999999997</v>
      </c>
      <c r="AA131" s="3" t="str">
        <f>IF(PortfolioData[[#This Row],[ROI_Percentile]]&lt;=0.1,"Underperforming","Healthy")</f>
        <v>Healthy</v>
      </c>
      <c r="AB131" s="3">
        <f>PortfolioData[[#This Row],[Debt_Outstanding]]/PortfolioData[[#This Row],[Current_Value]]</f>
        <v>0.18714317916813175</v>
      </c>
      <c r="AC131">
        <f>PortfolioData[[#This Row],[Units]]*PortfolioData[[#This Row],[Avg_Rent_per_Unit]]*12</f>
        <v>1921752</v>
      </c>
      <c r="AD131" s="13">
        <f>PortfolioData[[#This Row],[Potential_Revenue]]-PortfolioData[[#This Row],[Gross_Rental_Income]]</f>
        <v>247968</v>
      </c>
      <c r="AE131" s="3">
        <f>IFERROR(PortfolioData[[#This Row],[Vacancy_Loss]]/PortfolioData[[#This Row],[Potential_Revenue]],0)</f>
        <v>0.12903225806451613</v>
      </c>
      <c r="AF131" s="17">
        <f xml:space="preserve"> (PortfolioData[[#This Row],[Vacancy_%]] * 0.4) + (PortfolioData[[#This Row],[Debt_Ratio]] * 0.3) + (PortfolioData[[#This Row],[Interest_Rate]]/100 * 0.3)</f>
        <v>0.12236585697624598</v>
      </c>
    </row>
    <row r="132" spans="1:32" x14ac:dyDescent="0.3">
      <c r="A132" t="s">
        <v>94</v>
      </c>
      <c r="B132" t="s">
        <v>15</v>
      </c>
      <c r="C132" t="s">
        <v>16</v>
      </c>
      <c r="D132">
        <v>2018</v>
      </c>
      <c r="E132">
        <v>23150908</v>
      </c>
      <c r="F132">
        <v>30524510.510000002</v>
      </c>
      <c r="G132">
        <v>41</v>
      </c>
      <c r="H132">
        <v>38</v>
      </c>
      <c r="I132">
        <v>2361</v>
      </c>
      <c r="J132">
        <v>365737</v>
      </c>
      <c r="K132">
        <v>286851</v>
      </c>
      <c r="L132">
        <v>8183115</v>
      </c>
      <c r="M132">
        <v>3.92</v>
      </c>
      <c r="N132" t="s">
        <v>17</v>
      </c>
      <c r="O132" s="5">
        <f>PortfolioData[[#This Row],[Occupied_Units]]*PortfolioData[[#This Row],[Avg_Rent_per_Unit]]*12</f>
        <v>1076616</v>
      </c>
      <c r="P132" s="3">
        <f>1-(PortfolioData[[#This Row],[Occupied_Units]]/PortfolioData[[#This Row],[Units]])</f>
        <v>7.3170731707317027E-2</v>
      </c>
      <c r="Q132" s="5">
        <f>PortfolioData[[#This Row],[Gross_Rental_Income]] - PortfolioData[[#This Row],[Operating_Cost]] - PortfolioData[[#This Row],[Maintenance_Cost]]</f>
        <v>424028</v>
      </c>
      <c r="R132" s="5">
        <f>PortfolioData[[#This Row],[Adjusted_Debt_Outstanding]]*(PortfolioData[[#This Row],[Interest_Rate]]/100)</f>
        <v>320778.10800000001</v>
      </c>
      <c r="S132" s="5">
        <f>MIN(PortfolioData[[#This Row],[Debt_Outstanding]], PortfolioData[[#This Row],[Current_Value]]*0.8)</f>
        <v>8183115</v>
      </c>
      <c r="T132" s="5">
        <f>PortfolioData[[#This Row],[Net Operating Income (NOI)]]/PortfolioData[[#This Row],[Annual_Debt_Service]]</f>
        <v>1.3218732495298589</v>
      </c>
      <c r="U132" s="5">
        <f>PortfolioData[[#This Row],[Net Operating Income (NOI)]]-PortfolioData[[#This Row],[Annual_Debt_Service]]</f>
        <v>103249.89199999999</v>
      </c>
      <c r="V132" s="5">
        <f>PortfolioData[[#This Row],[Net Operating Income (NOI)]]</f>
        <v>424028</v>
      </c>
      <c r="W132" s="3">
        <f>PortfolioData[[#This Row],[Gross_Rental_Income]] / PortfolioData[[#This Row],[Purchase_Price]]</f>
        <v>4.6504266700900028E-2</v>
      </c>
      <c r="X132" s="3">
        <f>PortfolioData[[#This Row],[Net Operating Income (NOI)]]/PortfolioData[[#This Row],[Current_Value]]</f>
        <v>1.389139392951399E-2</v>
      </c>
      <c r="Y132" s="3">
        <f>(PortfolioData[[#This Row],[Current_Value]]-PortfolioData[[#This Row],[Purchase_Price]]+PortfolioData[[#This Row],[Net Operating Income (NOI)]]) / PortfolioData[[#This Row],[Purchase_Price]]</f>
        <v>0.33681748076576529</v>
      </c>
      <c r="Z132" s="5">
        <f>_xlfn.PERCENTRANK.INC(PortfolioData[ROI],PortfolioData[[#This Row],[ROI]])</f>
        <v>0.751</v>
      </c>
      <c r="AA132" s="3" t="str">
        <f>IF(PortfolioData[[#This Row],[ROI_Percentile]]&lt;=0.1,"Underperforming","Healthy")</f>
        <v>Healthy</v>
      </c>
      <c r="AB132" s="3">
        <f>PortfolioData[[#This Row],[Debt_Outstanding]]/PortfolioData[[#This Row],[Current_Value]]</f>
        <v>0.26808341438658501</v>
      </c>
      <c r="AC132">
        <f>PortfolioData[[#This Row],[Units]]*PortfolioData[[#This Row],[Avg_Rent_per_Unit]]*12</f>
        <v>1161612</v>
      </c>
      <c r="AD132" s="13">
        <f>PortfolioData[[#This Row],[Potential_Revenue]]-PortfolioData[[#This Row],[Gross_Rental_Income]]</f>
        <v>84996</v>
      </c>
      <c r="AE132" s="3">
        <f>IFERROR(PortfolioData[[#This Row],[Vacancy_Loss]]/PortfolioData[[#This Row],[Potential_Revenue]],0)</f>
        <v>7.3170731707317069E-2</v>
      </c>
      <c r="AF132" s="17">
        <f xml:space="preserve"> (PortfolioData[[#This Row],[Vacancy_%]] * 0.4) + (PortfolioData[[#This Row],[Debt_Ratio]] * 0.3) + (PortfolioData[[#This Row],[Interest_Rate]]/100 * 0.3)</f>
        <v>0.1214533169989023</v>
      </c>
    </row>
    <row r="133" spans="1:32" x14ac:dyDescent="0.3">
      <c r="A133" t="s">
        <v>109</v>
      </c>
      <c r="B133" t="s">
        <v>27</v>
      </c>
      <c r="C133" t="s">
        <v>30</v>
      </c>
      <c r="D133">
        <v>2010</v>
      </c>
      <c r="E133">
        <v>8284063</v>
      </c>
      <c r="F133">
        <v>8487740.1500000004</v>
      </c>
      <c r="G133">
        <v>60</v>
      </c>
      <c r="H133">
        <v>59</v>
      </c>
      <c r="I133">
        <v>5755</v>
      </c>
      <c r="J133">
        <v>830654</v>
      </c>
      <c r="K133">
        <v>478725</v>
      </c>
      <c r="L133">
        <v>2600065</v>
      </c>
      <c r="M133">
        <v>6.5</v>
      </c>
      <c r="N133" t="s">
        <v>24</v>
      </c>
      <c r="O133" s="5">
        <f>PortfolioData[[#This Row],[Occupied_Units]]*PortfolioData[[#This Row],[Avg_Rent_per_Unit]]*12</f>
        <v>4074540</v>
      </c>
      <c r="P133" s="3">
        <f>1-(PortfolioData[[#This Row],[Occupied_Units]]/PortfolioData[[#This Row],[Units]])</f>
        <v>1.6666666666666718E-2</v>
      </c>
      <c r="Q133" s="5">
        <f>PortfolioData[[#This Row],[Gross_Rental_Income]] - PortfolioData[[#This Row],[Operating_Cost]] - PortfolioData[[#This Row],[Maintenance_Cost]]</f>
        <v>2765161</v>
      </c>
      <c r="R133" s="5">
        <f>PortfolioData[[#This Row],[Adjusted_Debt_Outstanding]]*(PortfolioData[[#This Row],[Interest_Rate]]/100)</f>
        <v>169004.22500000001</v>
      </c>
      <c r="S133" s="5">
        <f>MIN(PortfolioData[[#This Row],[Debt_Outstanding]], PortfolioData[[#This Row],[Current_Value]]*0.8)</f>
        <v>2600065</v>
      </c>
      <c r="T133" s="5">
        <f>PortfolioData[[#This Row],[Net Operating Income (NOI)]]/PortfolioData[[#This Row],[Annual_Debt_Service]]</f>
        <v>16.361490371024747</v>
      </c>
      <c r="U133" s="5">
        <f>PortfolioData[[#This Row],[Net Operating Income (NOI)]]-PortfolioData[[#This Row],[Annual_Debt_Service]]</f>
        <v>2596156.7749999999</v>
      </c>
      <c r="V133" s="5">
        <f>PortfolioData[[#This Row],[Net Operating Income (NOI)]]</f>
        <v>2765161</v>
      </c>
      <c r="W133" s="3">
        <f>PortfolioData[[#This Row],[Gross_Rental_Income]] / PortfolioData[[#This Row],[Purchase_Price]]</f>
        <v>0.49185285046721638</v>
      </c>
      <c r="X133" s="3">
        <f>PortfolioData[[#This Row],[Net Operating Income (NOI)]]/PortfolioData[[#This Row],[Current_Value]]</f>
        <v>0.32578294706630478</v>
      </c>
      <c r="Y133" s="3">
        <f>(PortfolioData[[#This Row],[Current_Value]]-PortfolioData[[#This Row],[Purchase_Price]]+PortfolioData[[#This Row],[Net Operating Income (NOI)]]) / PortfolioData[[#This Row],[Purchase_Price]]</f>
        <v>0.35837947514402058</v>
      </c>
      <c r="Z133" s="5">
        <f>_xlfn.PERCENTRANK.INC(PortfolioData[ROI],PortfolioData[[#This Row],[ROI]])</f>
        <v>0.81200000000000006</v>
      </c>
      <c r="AA133" s="3" t="str">
        <f>IF(PortfolioData[[#This Row],[ROI_Percentile]]&lt;=0.1,"Underperforming","Healthy")</f>
        <v>Healthy</v>
      </c>
      <c r="AB133" s="3">
        <f>PortfolioData[[#This Row],[Debt_Outstanding]]/PortfolioData[[#This Row],[Current_Value]]</f>
        <v>0.30633183321475738</v>
      </c>
      <c r="AC133">
        <f>PortfolioData[[#This Row],[Units]]*PortfolioData[[#This Row],[Avg_Rent_per_Unit]]*12</f>
        <v>4143600</v>
      </c>
      <c r="AD133" s="13">
        <f>PortfolioData[[#This Row],[Potential_Revenue]]-PortfolioData[[#This Row],[Gross_Rental_Income]]</f>
        <v>69060</v>
      </c>
      <c r="AE133" s="3">
        <f>IFERROR(PortfolioData[[#This Row],[Vacancy_Loss]]/PortfolioData[[#This Row],[Potential_Revenue]],0)</f>
        <v>1.6666666666666666E-2</v>
      </c>
      <c r="AF133" s="17">
        <f xml:space="preserve"> (PortfolioData[[#This Row],[Vacancy_%]] * 0.4) + (PortfolioData[[#This Row],[Debt_Ratio]] * 0.3) + (PortfolioData[[#This Row],[Interest_Rate]]/100 * 0.3)</f>
        <v>0.1180662166310939</v>
      </c>
    </row>
    <row r="134" spans="1:32" x14ac:dyDescent="0.3">
      <c r="A134" t="s">
        <v>84</v>
      </c>
      <c r="B134" t="s">
        <v>22</v>
      </c>
      <c r="C134" t="s">
        <v>23</v>
      </c>
      <c r="D134">
        <v>2014</v>
      </c>
      <c r="E134">
        <v>15799268</v>
      </c>
      <c r="F134">
        <v>20451329.809999999</v>
      </c>
      <c r="G134">
        <v>75</v>
      </c>
      <c r="H134">
        <v>74</v>
      </c>
      <c r="I134">
        <v>4597</v>
      </c>
      <c r="J134">
        <v>693001</v>
      </c>
      <c r="K134">
        <v>149918</v>
      </c>
      <c r="L134">
        <v>6121018</v>
      </c>
      <c r="M134">
        <v>6.32</v>
      </c>
      <c r="N134" t="s">
        <v>24</v>
      </c>
      <c r="O134" s="5">
        <f>PortfolioData[[#This Row],[Occupied_Units]]*PortfolioData[[#This Row],[Avg_Rent_per_Unit]]*12</f>
        <v>4082136</v>
      </c>
      <c r="P134" s="3">
        <f>1-(PortfolioData[[#This Row],[Occupied_Units]]/PortfolioData[[#This Row],[Units]])</f>
        <v>1.3333333333333308E-2</v>
      </c>
      <c r="Q134" s="5">
        <f>PortfolioData[[#This Row],[Gross_Rental_Income]] - PortfolioData[[#This Row],[Operating_Cost]] - PortfolioData[[#This Row],[Maintenance_Cost]]</f>
        <v>3239217</v>
      </c>
      <c r="R134" s="5">
        <f>PortfolioData[[#This Row],[Adjusted_Debt_Outstanding]]*(PortfolioData[[#This Row],[Interest_Rate]]/100)</f>
        <v>386848.33760000003</v>
      </c>
      <c r="S134" s="5">
        <f>MIN(PortfolioData[[#This Row],[Debt_Outstanding]], PortfolioData[[#This Row],[Current_Value]]*0.8)</f>
        <v>6121018</v>
      </c>
      <c r="T134" s="5">
        <f>PortfolioData[[#This Row],[Net Operating Income (NOI)]]/PortfolioData[[#This Row],[Annual_Debt_Service]]</f>
        <v>8.3733512210393428</v>
      </c>
      <c r="U134" s="5">
        <f>PortfolioData[[#This Row],[Net Operating Income (NOI)]]-PortfolioData[[#This Row],[Annual_Debt_Service]]</f>
        <v>2852368.6623999998</v>
      </c>
      <c r="V134" s="5">
        <f>PortfolioData[[#This Row],[Net Operating Income (NOI)]]</f>
        <v>3239217</v>
      </c>
      <c r="W134" s="3">
        <f>PortfolioData[[#This Row],[Gross_Rental_Income]] / PortfolioData[[#This Row],[Purchase_Price]]</f>
        <v>0.25837500825987636</v>
      </c>
      <c r="X134" s="3">
        <f>PortfolioData[[#This Row],[Net Operating Income (NOI)]]/PortfolioData[[#This Row],[Current_Value]]</f>
        <v>0.1583866198478758</v>
      </c>
      <c r="Y134" s="3">
        <f>(PortfolioData[[#This Row],[Current_Value]]-PortfolioData[[#This Row],[Purchase_Price]]+PortfolioData[[#This Row],[Net Operating Income (NOI)]]) / PortfolioData[[#This Row],[Purchase_Price]]</f>
        <v>0.49947116600591868</v>
      </c>
      <c r="Z134" s="5">
        <f>_xlfn.PERCENTRANK.INC(PortfolioData[ROI],PortfolioData[[#This Row],[ROI]])</f>
        <v>0.95899999999999996</v>
      </c>
      <c r="AA134" s="3" t="str">
        <f>IF(PortfolioData[[#This Row],[ROI_Percentile]]&lt;=0.1,"Underperforming","Healthy")</f>
        <v>Healthy</v>
      </c>
      <c r="AB134" s="3">
        <f>PortfolioData[[#This Row],[Debt_Outstanding]]/PortfolioData[[#This Row],[Current_Value]]</f>
        <v>0.29929682112930533</v>
      </c>
      <c r="AC134">
        <f>PortfolioData[[#This Row],[Units]]*PortfolioData[[#This Row],[Avg_Rent_per_Unit]]*12</f>
        <v>4137300</v>
      </c>
      <c r="AD134" s="13">
        <f>PortfolioData[[#This Row],[Potential_Revenue]]-PortfolioData[[#This Row],[Gross_Rental_Income]]</f>
        <v>55164</v>
      </c>
      <c r="AE134" s="3">
        <f>IFERROR(PortfolioData[[#This Row],[Vacancy_Loss]]/PortfolioData[[#This Row],[Potential_Revenue]],0)</f>
        <v>1.3333333333333334E-2</v>
      </c>
      <c r="AF134" s="17">
        <f xml:space="preserve"> (PortfolioData[[#This Row],[Vacancy_%]] * 0.4) + (PortfolioData[[#This Row],[Debt_Ratio]] * 0.3) + (PortfolioData[[#This Row],[Interest_Rate]]/100 * 0.3)</f>
        <v>0.11408237967212494</v>
      </c>
    </row>
    <row r="135" spans="1:32" x14ac:dyDescent="0.3">
      <c r="A135" t="s">
        <v>93</v>
      </c>
      <c r="B135" t="s">
        <v>27</v>
      </c>
      <c r="C135" t="s">
        <v>20</v>
      </c>
      <c r="D135">
        <v>2017</v>
      </c>
      <c r="E135">
        <v>18905414</v>
      </c>
      <c r="F135">
        <v>17752532.91</v>
      </c>
      <c r="G135">
        <v>74</v>
      </c>
      <c r="H135">
        <v>65</v>
      </c>
      <c r="I135">
        <v>2488</v>
      </c>
      <c r="J135">
        <v>366167</v>
      </c>
      <c r="K135">
        <v>425275</v>
      </c>
      <c r="L135">
        <v>2890949</v>
      </c>
      <c r="M135">
        <v>4</v>
      </c>
      <c r="N135" t="s">
        <v>24</v>
      </c>
      <c r="O135" s="5">
        <f>PortfolioData[[#This Row],[Occupied_Units]]*PortfolioData[[#This Row],[Avg_Rent_per_Unit]]*12</f>
        <v>1940640</v>
      </c>
      <c r="P135" s="3">
        <f>1-(PortfolioData[[#This Row],[Occupied_Units]]/PortfolioData[[#This Row],[Units]])</f>
        <v>0.1216216216216216</v>
      </c>
      <c r="Q135" s="5">
        <f>PortfolioData[[#This Row],[Gross_Rental_Income]] - PortfolioData[[#This Row],[Operating_Cost]] - PortfolioData[[#This Row],[Maintenance_Cost]]</f>
        <v>1149198</v>
      </c>
      <c r="R135" s="5">
        <f>PortfolioData[[#This Row],[Adjusted_Debt_Outstanding]]*(PortfolioData[[#This Row],[Interest_Rate]]/100)</f>
        <v>115637.96</v>
      </c>
      <c r="S135" s="5">
        <f>MIN(PortfolioData[[#This Row],[Debt_Outstanding]], PortfolioData[[#This Row],[Current_Value]]*0.8)</f>
        <v>2890949</v>
      </c>
      <c r="T135" s="5">
        <f>PortfolioData[[#This Row],[Net Operating Income (NOI)]]/PortfolioData[[#This Row],[Annual_Debt_Service]]</f>
        <v>9.937895825903535</v>
      </c>
      <c r="U135" s="5">
        <f>PortfolioData[[#This Row],[Net Operating Income (NOI)]]-PortfolioData[[#This Row],[Annual_Debt_Service]]</f>
        <v>1033560.04</v>
      </c>
      <c r="V135" s="5">
        <f>PortfolioData[[#This Row],[Net Operating Income (NOI)]]</f>
        <v>1149198</v>
      </c>
      <c r="W135" s="3">
        <f>PortfolioData[[#This Row],[Gross_Rental_Income]] / PortfolioData[[#This Row],[Purchase_Price]]</f>
        <v>0.10264996048221954</v>
      </c>
      <c r="X135" s="3">
        <f>PortfolioData[[#This Row],[Net Operating Income (NOI)]]/PortfolioData[[#This Row],[Current_Value]]</f>
        <v>6.4734311764190949E-2</v>
      </c>
      <c r="Y135" s="3">
        <f>(PortfolioData[[#This Row],[Current_Value]]-PortfolioData[[#This Row],[Purchase_Price]]+PortfolioData[[#This Row],[Net Operating Income (NOI)]]) / PortfolioData[[#This Row],[Purchase_Price]]</f>
        <v>-1.948166805550966E-4</v>
      </c>
      <c r="Z135" s="5">
        <f>_xlfn.PERCENTRANK.INC(PortfolioData[ROI],PortfolioData[[#This Row],[ROI]])</f>
        <v>0.14699999999999999</v>
      </c>
      <c r="AA135" s="3" t="str">
        <f>IF(PortfolioData[[#This Row],[ROI_Percentile]]&lt;=0.1,"Underperforming","Healthy")</f>
        <v>Healthy</v>
      </c>
      <c r="AB135" s="3">
        <f>PortfolioData[[#This Row],[Debt_Outstanding]]/PortfolioData[[#This Row],[Current_Value]]</f>
        <v>0.1628471280496277</v>
      </c>
      <c r="AC135">
        <f>PortfolioData[[#This Row],[Units]]*PortfolioData[[#This Row],[Avg_Rent_per_Unit]]*12</f>
        <v>2209344</v>
      </c>
      <c r="AD135" s="13">
        <f>PortfolioData[[#This Row],[Potential_Revenue]]-PortfolioData[[#This Row],[Gross_Rental_Income]]</f>
        <v>268704</v>
      </c>
      <c r="AE135" s="3">
        <f>IFERROR(PortfolioData[[#This Row],[Vacancy_Loss]]/PortfolioData[[#This Row],[Potential_Revenue]],0)</f>
        <v>0.12162162162162163</v>
      </c>
      <c r="AF135" s="17">
        <f xml:space="preserve"> (PortfolioData[[#This Row],[Vacancy_%]] * 0.4) + (PortfolioData[[#This Row],[Debt_Ratio]] * 0.3) + (PortfolioData[[#This Row],[Interest_Rate]]/100 * 0.3)</f>
        <v>0.10950278706353696</v>
      </c>
    </row>
    <row r="136" spans="1:32" x14ac:dyDescent="0.3">
      <c r="A136" t="s">
        <v>133</v>
      </c>
      <c r="B136" t="s">
        <v>22</v>
      </c>
      <c r="C136" t="s">
        <v>23</v>
      </c>
      <c r="D136">
        <v>2013</v>
      </c>
      <c r="E136">
        <v>22026457</v>
      </c>
      <c r="F136">
        <v>27601631.300000001</v>
      </c>
      <c r="G136">
        <v>58</v>
      </c>
      <c r="H136">
        <v>53</v>
      </c>
      <c r="I136">
        <v>4086</v>
      </c>
      <c r="J136">
        <v>776786</v>
      </c>
      <c r="K136">
        <v>345945</v>
      </c>
      <c r="L136">
        <v>5247772</v>
      </c>
      <c r="M136">
        <v>5.94</v>
      </c>
      <c r="N136" t="s">
        <v>17</v>
      </c>
      <c r="O136" s="5">
        <f>PortfolioData[[#This Row],[Occupied_Units]]*PortfolioData[[#This Row],[Avg_Rent_per_Unit]]*12</f>
        <v>2598696</v>
      </c>
      <c r="P136" s="3">
        <f>1-(PortfolioData[[#This Row],[Occupied_Units]]/PortfolioData[[#This Row],[Units]])</f>
        <v>8.6206896551724088E-2</v>
      </c>
      <c r="Q136" s="5">
        <f>PortfolioData[[#This Row],[Gross_Rental_Income]] - PortfolioData[[#This Row],[Operating_Cost]] - PortfolioData[[#This Row],[Maintenance_Cost]]</f>
        <v>1475965</v>
      </c>
      <c r="R136" s="5">
        <f>PortfolioData[[#This Row],[Adjusted_Debt_Outstanding]]*(PortfolioData[[#This Row],[Interest_Rate]]/100)</f>
        <v>311717.6568</v>
      </c>
      <c r="S136" s="5">
        <f>MIN(PortfolioData[[#This Row],[Debt_Outstanding]], PortfolioData[[#This Row],[Current_Value]]*0.8)</f>
        <v>5247772</v>
      </c>
      <c r="T136" s="5">
        <f>PortfolioData[[#This Row],[Net Operating Income (NOI)]]/PortfolioData[[#This Row],[Annual_Debt_Service]]</f>
        <v>4.7349419187601178</v>
      </c>
      <c r="U136" s="5">
        <f>PortfolioData[[#This Row],[Net Operating Income (NOI)]]-PortfolioData[[#This Row],[Annual_Debt_Service]]</f>
        <v>1164247.3432</v>
      </c>
      <c r="V136" s="5">
        <f>PortfolioData[[#This Row],[Net Operating Income (NOI)]]</f>
        <v>1475965</v>
      </c>
      <c r="W136" s="3">
        <f>PortfolioData[[#This Row],[Gross_Rental_Income]] / PortfolioData[[#This Row],[Purchase_Price]]</f>
        <v>0.11798066298179503</v>
      </c>
      <c r="X136" s="3">
        <f>PortfolioData[[#This Row],[Net Operating Income (NOI)]]/PortfolioData[[#This Row],[Current_Value]]</f>
        <v>5.347383217889734E-2</v>
      </c>
      <c r="Y136" s="3">
        <f>(PortfolioData[[#This Row],[Current_Value]]-PortfolioData[[#This Row],[Purchase_Price]]+PortfolioData[[#This Row],[Net Operating Income (NOI)]]) / PortfolioData[[#This Row],[Purchase_Price]]</f>
        <v>0.32012135678470671</v>
      </c>
      <c r="Z136" s="5">
        <f>_xlfn.PERCENTRANK.INC(PortfolioData[ROI],PortfolioData[[#This Row],[ROI]])</f>
        <v>0.71099999999999997</v>
      </c>
      <c r="AA136" s="3" t="str">
        <f>IF(PortfolioData[[#This Row],[ROI_Percentile]]&lt;=0.1,"Underperforming","Healthy")</f>
        <v>Healthy</v>
      </c>
      <c r="AB136" s="3">
        <f>PortfolioData[[#This Row],[Debt_Outstanding]]/PortfolioData[[#This Row],[Current_Value]]</f>
        <v>0.1901254292893913</v>
      </c>
      <c r="AC136">
        <f>PortfolioData[[#This Row],[Units]]*PortfolioData[[#This Row],[Avg_Rent_per_Unit]]*12</f>
        <v>2843856</v>
      </c>
      <c r="AD136" s="13">
        <f>PortfolioData[[#This Row],[Potential_Revenue]]-PortfolioData[[#This Row],[Gross_Rental_Income]]</f>
        <v>245160</v>
      </c>
      <c r="AE136" s="3">
        <f>IFERROR(PortfolioData[[#This Row],[Vacancy_Loss]]/PortfolioData[[#This Row],[Potential_Revenue]],0)</f>
        <v>8.6206896551724144E-2</v>
      </c>
      <c r="AF136" s="17">
        <f xml:space="preserve"> (PortfolioData[[#This Row],[Vacancy_%]] * 0.4) + (PortfolioData[[#This Row],[Debt_Ratio]] * 0.3) + (PortfolioData[[#This Row],[Interest_Rate]]/100 * 0.3)</f>
        <v>0.10934038740750703</v>
      </c>
    </row>
    <row r="137" spans="1:32" x14ac:dyDescent="0.3">
      <c r="A137" t="s">
        <v>105</v>
      </c>
      <c r="B137" t="s">
        <v>19</v>
      </c>
      <c r="C137" t="s">
        <v>16</v>
      </c>
      <c r="D137">
        <v>2012</v>
      </c>
      <c r="E137">
        <v>18064327</v>
      </c>
      <c r="F137">
        <v>22338190.84</v>
      </c>
      <c r="G137">
        <v>43</v>
      </c>
      <c r="H137">
        <v>42</v>
      </c>
      <c r="I137">
        <v>3189</v>
      </c>
      <c r="J137">
        <v>700013</v>
      </c>
      <c r="K137">
        <v>255095</v>
      </c>
      <c r="L137">
        <v>6225498</v>
      </c>
      <c r="M137">
        <v>5.31</v>
      </c>
      <c r="N137" t="s">
        <v>17</v>
      </c>
      <c r="O137" s="5">
        <f>PortfolioData[[#This Row],[Occupied_Units]]*PortfolioData[[#This Row],[Avg_Rent_per_Unit]]*12</f>
        <v>1607256</v>
      </c>
      <c r="P137" s="3">
        <f>1-(PortfolioData[[#This Row],[Occupied_Units]]/PortfolioData[[#This Row],[Units]])</f>
        <v>2.3255813953488413E-2</v>
      </c>
      <c r="Q137" s="5">
        <f>PortfolioData[[#This Row],[Gross_Rental_Income]] - PortfolioData[[#This Row],[Operating_Cost]] - PortfolioData[[#This Row],[Maintenance_Cost]]</f>
        <v>652148</v>
      </c>
      <c r="R137" s="5">
        <f>PortfolioData[[#This Row],[Adjusted_Debt_Outstanding]]*(PortfolioData[[#This Row],[Interest_Rate]]/100)</f>
        <v>330573.94379999995</v>
      </c>
      <c r="S137" s="5">
        <f>MIN(PortfolioData[[#This Row],[Debt_Outstanding]], PortfolioData[[#This Row],[Current_Value]]*0.8)</f>
        <v>6225498</v>
      </c>
      <c r="T137" s="5">
        <f>PortfolioData[[#This Row],[Net Operating Income (NOI)]]/PortfolioData[[#This Row],[Annual_Debt_Service]]</f>
        <v>1.9727749637598633</v>
      </c>
      <c r="U137" s="5">
        <f>PortfolioData[[#This Row],[Net Operating Income (NOI)]]-PortfolioData[[#This Row],[Annual_Debt_Service]]</f>
        <v>321574.05620000005</v>
      </c>
      <c r="V137" s="5">
        <f>PortfolioData[[#This Row],[Net Operating Income (NOI)]]</f>
        <v>652148</v>
      </c>
      <c r="W137" s="3">
        <f>PortfolioData[[#This Row],[Gross_Rental_Income]] / PortfolioData[[#This Row],[Purchase_Price]]</f>
        <v>8.8974031526333638E-2</v>
      </c>
      <c r="X137" s="3">
        <f>PortfolioData[[#This Row],[Net Operating Income (NOI)]]/PortfolioData[[#This Row],[Current_Value]]</f>
        <v>2.9194306945942449E-2</v>
      </c>
      <c r="Y137" s="3">
        <f>(PortfolioData[[#This Row],[Current_Value]]-PortfolioData[[#This Row],[Purchase_Price]]+PortfolioData[[#This Row],[Net Operating Income (NOI)]]) / PortfolioData[[#This Row],[Purchase_Price]]</f>
        <v>0.2726927961390424</v>
      </c>
      <c r="Z137" s="5">
        <f>_xlfn.PERCENTRANK.INC(PortfolioData[ROI],PortfolioData[[#This Row],[ROI]])</f>
        <v>0.60399999999999998</v>
      </c>
      <c r="AA137" s="3" t="str">
        <f>IF(PortfolioData[[#This Row],[ROI_Percentile]]&lt;=0.1,"Underperforming","Healthy")</f>
        <v>Healthy</v>
      </c>
      <c r="AB137" s="3">
        <f>PortfolioData[[#This Row],[Debt_Outstanding]]/PortfolioData[[#This Row],[Current_Value]]</f>
        <v>0.27869302597470336</v>
      </c>
      <c r="AC137">
        <f>PortfolioData[[#This Row],[Units]]*PortfolioData[[#This Row],[Avg_Rent_per_Unit]]*12</f>
        <v>1645524</v>
      </c>
      <c r="AD137" s="13">
        <f>PortfolioData[[#This Row],[Potential_Revenue]]-PortfolioData[[#This Row],[Gross_Rental_Income]]</f>
        <v>38268</v>
      </c>
      <c r="AE137" s="3">
        <f>IFERROR(PortfolioData[[#This Row],[Vacancy_Loss]]/PortfolioData[[#This Row],[Potential_Revenue]],0)</f>
        <v>2.3255813953488372E-2</v>
      </c>
      <c r="AF137" s="17">
        <f xml:space="preserve"> (PortfolioData[[#This Row],[Vacancy_%]] * 0.4) + (PortfolioData[[#This Row],[Debt_Ratio]] * 0.3) + (PortfolioData[[#This Row],[Interest_Rate]]/100 * 0.3)</f>
        <v>0.10884023337380637</v>
      </c>
    </row>
    <row r="138" spans="1:32" x14ac:dyDescent="0.3">
      <c r="A138" t="s">
        <v>39</v>
      </c>
      <c r="B138" t="s">
        <v>19</v>
      </c>
      <c r="C138" t="s">
        <v>30</v>
      </c>
      <c r="D138">
        <v>2013</v>
      </c>
      <c r="E138">
        <v>14423358</v>
      </c>
      <c r="F138">
        <v>19157318.039999999</v>
      </c>
      <c r="G138">
        <v>53</v>
      </c>
      <c r="H138">
        <v>45</v>
      </c>
      <c r="I138">
        <v>5984</v>
      </c>
      <c r="J138">
        <v>736343</v>
      </c>
      <c r="K138">
        <v>450022</v>
      </c>
      <c r="L138">
        <v>2065071</v>
      </c>
      <c r="M138">
        <v>4.58</v>
      </c>
      <c r="N138" t="s">
        <v>24</v>
      </c>
      <c r="O138" s="5">
        <f>PortfolioData[[#This Row],[Occupied_Units]]*PortfolioData[[#This Row],[Avg_Rent_per_Unit]]*12</f>
        <v>3231360</v>
      </c>
      <c r="P138" s="3">
        <f>1-(PortfolioData[[#This Row],[Occupied_Units]]/PortfolioData[[#This Row],[Units]])</f>
        <v>0.15094339622641506</v>
      </c>
      <c r="Q138" s="5">
        <f>PortfolioData[[#This Row],[Gross_Rental_Income]] - PortfolioData[[#This Row],[Operating_Cost]] - PortfolioData[[#This Row],[Maintenance_Cost]]</f>
        <v>2044995</v>
      </c>
      <c r="R138" s="5">
        <f>PortfolioData[[#This Row],[Adjusted_Debt_Outstanding]]*(PortfolioData[[#This Row],[Interest_Rate]]/100)</f>
        <v>94580.251799999998</v>
      </c>
      <c r="S138" s="5">
        <f>MIN(PortfolioData[[#This Row],[Debt_Outstanding]], PortfolioData[[#This Row],[Current_Value]]*0.8)</f>
        <v>2065071</v>
      </c>
      <c r="T138" s="5">
        <f>PortfolioData[[#This Row],[Net Operating Income (NOI)]]/PortfolioData[[#This Row],[Annual_Debt_Service]]</f>
        <v>21.621796951062887</v>
      </c>
      <c r="U138" s="5">
        <f>PortfolioData[[#This Row],[Net Operating Income (NOI)]]-PortfolioData[[#This Row],[Annual_Debt_Service]]</f>
        <v>1950414.7482</v>
      </c>
      <c r="V138" s="5">
        <f>PortfolioData[[#This Row],[Net Operating Income (NOI)]]</f>
        <v>2044995</v>
      </c>
      <c r="W138" s="3">
        <f>PortfolioData[[#This Row],[Gross_Rental_Income]] / PortfolioData[[#This Row],[Purchase_Price]]</f>
        <v>0.22403659397485662</v>
      </c>
      <c r="X138" s="3">
        <f>PortfolioData[[#This Row],[Net Operating Income (NOI)]]/PortfolioData[[#This Row],[Current_Value]]</f>
        <v>0.1067474578503161</v>
      </c>
      <c r="Y138" s="3">
        <f>(PortfolioData[[#This Row],[Current_Value]]-PortfolioData[[#This Row],[Purchase_Price]]+PortfolioData[[#This Row],[Net Operating Income (NOI)]]) / PortfolioData[[#This Row],[Purchase_Price]]</f>
        <v>0.46999839011137345</v>
      </c>
      <c r="Z138" s="5">
        <f>_xlfn.PERCENTRANK.INC(PortfolioData[ROI],PortfolioData[[#This Row],[ROI]])</f>
        <v>0.93200000000000005</v>
      </c>
      <c r="AA138" s="3" t="str">
        <f>IF(PortfolioData[[#This Row],[ROI_Percentile]]&lt;=0.1,"Underperforming","Healthy")</f>
        <v>Healthy</v>
      </c>
      <c r="AB138" s="3">
        <f>PortfolioData[[#This Row],[Debt_Outstanding]]/PortfolioData[[#This Row],[Current_Value]]</f>
        <v>0.10779541247309167</v>
      </c>
      <c r="AC138">
        <f>PortfolioData[[#This Row],[Units]]*PortfolioData[[#This Row],[Avg_Rent_per_Unit]]*12</f>
        <v>3805824</v>
      </c>
      <c r="AD138" s="13">
        <f>PortfolioData[[#This Row],[Potential_Revenue]]-PortfolioData[[#This Row],[Gross_Rental_Income]]</f>
        <v>574464</v>
      </c>
      <c r="AE138" s="3">
        <f>IFERROR(PortfolioData[[#This Row],[Vacancy_Loss]]/PortfolioData[[#This Row],[Potential_Revenue]],0)</f>
        <v>0.15094339622641509</v>
      </c>
      <c r="AF138" s="17">
        <f xml:space="preserve"> (PortfolioData[[#This Row],[Vacancy_%]] * 0.4) + (PortfolioData[[#This Row],[Debt_Ratio]] * 0.3) + (PortfolioData[[#This Row],[Interest_Rate]]/100 * 0.3)</f>
        <v>0.10645598223249353</v>
      </c>
    </row>
    <row r="139" spans="1:32" x14ac:dyDescent="0.3">
      <c r="A139" t="s">
        <v>43</v>
      </c>
      <c r="B139" t="s">
        <v>22</v>
      </c>
      <c r="C139" t="s">
        <v>20</v>
      </c>
      <c r="D139">
        <v>2017</v>
      </c>
      <c r="E139">
        <v>8110767</v>
      </c>
      <c r="F139">
        <v>7322966.9500000002</v>
      </c>
      <c r="G139">
        <v>64</v>
      </c>
      <c r="H139">
        <v>64</v>
      </c>
      <c r="I139">
        <v>4811</v>
      </c>
      <c r="J139">
        <v>759634</v>
      </c>
      <c r="K139">
        <v>499742</v>
      </c>
      <c r="L139">
        <v>2069875</v>
      </c>
      <c r="M139">
        <v>6.41</v>
      </c>
      <c r="N139" t="s">
        <v>24</v>
      </c>
      <c r="O139" s="5">
        <f>PortfolioData[[#This Row],[Occupied_Units]]*PortfolioData[[#This Row],[Avg_Rent_per_Unit]]*12</f>
        <v>3694848</v>
      </c>
      <c r="P139" s="3">
        <f>1-(PortfolioData[[#This Row],[Occupied_Units]]/PortfolioData[[#This Row],[Units]])</f>
        <v>0</v>
      </c>
      <c r="Q139" s="5">
        <f>PortfolioData[[#This Row],[Gross_Rental_Income]] - PortfolioData[[#This Row],[Operating_Cost]] - PortfolioData[[#This Row],[Maintenance_Cost]]</f>
        <v>2435472</v>
      </c>
      <c r="R139" s="5">
        <f>PortfolioData[[#This Row],[Adjusted_Debt_Outstanding]]*(PortfolioData[[#This Row],[Interest_Rate]]/100)</f>
        <v>132678.98750000002</v>
      </c>
      <c r="S139" s="5">
        <f>MIN(PortfolioData[[#This Row],[Debt_Outstanding]], PortfolioData[[#This Row],[Current_Value]]*0.8)</f>
        <v>2069875</v>
      </c>
      <c r="T139" s="5">
        <f>PortfolioData[[#This Row],[Net Operating Income (NOI)]]/PortfolioData[[#This Row],[Annual_Debt_Service]]</f>
        <v>18.356124401386463</v>
      </c>
      <c r="U139" s="5">
        <f>PortfolioData[[#This Row],[Net Operating Income (NOI)]]-PortfolioData[[#This Row],[Annual_Debt_Service]]</f>
        <v>2302793.0125000002</v>
      </c>
      <c r="V139" s="5">
        <f>PortfolioData[[#This Row],[Net Operating Income (NOI)]]</f>
        <v>2435472</v>
      </c>
      <c r="W139" s="3">
        <f>PortfolioData[[#This Row],[Gross_Rental_Income]] / PortfolioData[[#This Row],[Purchase_Price]]</f>
        <v>0.45554853196991113</v>
      </c>
      <c r="X139" s="3">
        <f>PortfolioData[[#This Row],[Net Operating Income (NOI)]]/PortfolioData[[#This Row],[Current_Value]]</f>
        <v>0.33257995244673333</v>
      </c>
      <c r="Y139" s="3">
        <f>(PortfolioData[[#This Row],[Current_Value]]-PortfolioData[[#This Row],[Purchase_Price]]+PortfolioData[[#This Row],[Net Operating Income (NOI)]]) / PortfolioData[[#This Row],[Purchase_Price]]</f>
        <v>0.20314625608157652</v>
      </c>
      <c r="Z139" s="5">
        <f>_xlfn.PERCENTRANK.INC(PortfolioData[ROI],PortfolioData[[#This Row],[ROI]])</f>
        <v>0.44900000000000001</v>
      </c>
      <c r="AA139" s="3" t="str">
        <f>IF(PortfolioData[[#This Row],[ROI_Percentile]]&lt;=0.1,"Underperforming","Healthy")</f>
        <v>Healthy</v>
      </c>
      <c r="AB139" s="3">
        <f>PortfolioData[[#This Row],[Debt_Outstanding]]/PortfolioData[[#This Row],[Current_Value]]</f>
        <v>0.28265524262676073</v>
      </c>
      <c r="AC139">
        <f>PortfolioData[[#This Row],[Units]]*PortfolioData[[#This Row],[Avg_Rent_per_Unit]]*12</f>
        <v>3694848</v>
      </c>
      <c r="AD139" s="13">
        <f>PortfolioData[[#This Row],[Potential_Revenue]]-PortfolioData[[#This Row],[Gross_Rental_Income]]</f>
        <v>0</v>
      </c>
      <c r="AE139" s="3">
        <f>IFERROR(PortfolioData[[#This Row],[Vacancy_Loss]]/PortfolioData[[#This Row],[Potential_Revenue]],0)</f>
        <v>0</v>
      </c>
      <c r="AF139" s="17">
        <f xml:space="preserve"> (PortfolioData[[#This Row],[Vacancy_%]] * 0.4) + (PortfolioData[[#This Row],[Debt_Ratio]] * 0.3) + (PortfolioData[[#This Row],[Interest_Rate]]/100 * 0.3)</f>
        <v>0.10402657278802821</v>
      </c>
    </row>
    <row r="140" spans="1:32" x14ac:dyDescent="0.3">
      <c r="A140" t="s">
        <v>51</v>
      </c>
      <c r="B140" t="s">
        <v>15</v>
      </c>
      <c r="C140" t="s">
        <v>16</v>
      </c>
      <c r="D140">
        <v>2010</v>
      </c>
      <c r="E140">
        <v>17541432</v>
      </c>
      <c r="F140">
        <v>18095443.420000002</v>
      </c>
      <c r="G140">
        <v>32</v>
      </c>
      <c r="H140">
        <v>31</v>
      </c>
      <c r="I140">
        <v>4955</v>
      </c>
      <c r="J140">
        <v>384652</v>
      </c>
      <c r="K140">
        <v>261661</v>
      </c>
      <c r="L140">
        <v>4248013</v>
      </c>
      <c r="M140">
        <v>6.59</v>
      </c>
      <c r="N140" t="s">
        <v>24</v>
      </c>
      <c r="O140" s="5">
        <f>PortfolioData[[#This Row],[Occupied_Units]]*PortfolioData[[#This Row],[Avg_Rent_per_Unit]]*12</f>
        <v>1843260</v>
      </c>
      <c r="P140" s="3">
        <f>1-(PortfolioData[[#This Row],[Occupied_Units]]/PortfolioData[[#This Row],[Units]])</f>
        <v>3.125E-2</v>
      </c>
      <c r="Q140" s="5">
        <f>PortfolioData[[#This Row],[Gross_Rental_Income]] - PortfolioData[[#This Row],[Operating_Cost]] - PortfolioData[[#This Row],[Maintenance_Cost]]</f>
        <v>1196947</v>
      </c>
      <c r="R140" s="5">
        <f>PortfolioData[[#This Row],[Adjusted_Debt_Outstanding]]*(PortfolioData[[#This Row],[Interest_Rate]]/100)</f>
        <v>279944.05670000002</v>
      </c>
      <c r="S140" s="5">
        <f>MIN(PortfolioData[[#This Row],[Debt_Outstanding]], PortfolioData[[#This Row],[Current_Value]]*0.8)</f>
        <v>4248013</v>
      </c>
      <c r="T140" s="5">
        <f>PortfolioData[[#This Row],[Net Operating Income (NOI)]]/PortfolioData[[#This Row],[Annual_Debt_Service]]</f>
        <v>4.2756649814598475</v>
      </c>
      <c r="U140" s="5">
        <f>PortfolioData[[#This Row],[Net Operating Income (NOI)]]-PortfolioData[[#This Row],[Annual_Debt_Service]]</f>
        <v>917002.94329999993</v>
      </c>
      <c r="V140" s="5">
        <f>PortfolioData[[#This Row],[Net Operating Income (NOI)]]</f>
        <v>1196947</v>
      </c>
      <c r="W140" s="3">
        <f>PortfolioData[[#This Row],[Gross_Rental_Income]] / PortfolioData[[#This Row],[Purchase_Price]]</f>
        <v>0.10508036059997838</v>
      </c>
      <c r="X140" s="3">
        <f>PortfolioData[[#This Row],[Net Operating Income (NOI)]]/PortfolioData[[#This Row],[Current_Value]]</f>
        <v>6.6146320497295658E-2</v>
      </c>
      <c r="Y140" s="3">
        <f>(PortfolioData[[#This Row],[Current_Value]]-PortfolioData[[#This Row],[Purchase_Price]]+PortfolioData[[#This Row],[Net Operating Income (NOI)]]) / PortfolioData[[#This Row],[Purchase_Price]]</f>
        <v>9.9818442416787972E-2</v>
      </c>
      <c r="Z140" s="5">
        <f>_xlfn.PERCENTRANK.INC(PortfolioData[ROI],PortfolioData[[#This Row],[ROI]])</f>
        <v>0.315</v>
      </c>
      <c r="AA140" s="3" t="str">
        <f>IF(PortfolioData[[#This Row],[ROI_Percentile]]&lt;=0.1,"Underperforming","Healthy")</f>
        <v>Healthy</v>
      </c>
      <c r="AB140" s="3">
        <f>PortfolioData[[#This Row],[Debt_Outstanding]]/PortfolioData[[#This Row],[Current_Value]]</f>
        <v>0.23475594940684794</v>
      </c>
      <c r="AC140">
        <f>PortfolioData[[#This Row],[Units]]*PortfolioData[[#This Row],[Avg_Rent_per_Unit]]*12</f>
        <v>1902720</v>
      </c>
      <c r="AD140" s="13">
        <f>PortfolioData[[#This Row],[Potential_Revenue]]-PortfolioData[[#This Row],[Gross_Rental_Income]]</f>
        <v>59460</v>
      </c>
      <c r="AE140" s="3">
        <f>IFERROR(PortfolioData[[#This Row],[Vacancy_Loss]]/PortfolioData[[#This Row],[Potential_Revenue]],0)</f>
        <v>3.125E-2</v>
      </c>
      <c r="AF140" s="17">
        <f xml:space="preserve"> (PortfolioData[[#This Row],[Vacancy_%]] * 0.4) + (PortfolioData[[#This Row],[Debt_Ratio]] * 0.3) + (PortfolioData[[#This Row],[Interest_Rate]]/100 * 0.3)</f>
        <v>0.10269678482205437</v>
      </c>
    </row>
    <row r="141" spans="1:32" x14ac:dyDescent="0.3">
      <c r="A141" t="s">
        <v>136</v>
      </c>
      <c r="B141" t="s">
        <v>22</v>
      </c>
      <c r="C141" t="s">
        <v>16</v>
      </c>
      <c r="D141">
        <v>2018</v>
      </c>
      <c r="E141">
        <v>22698816</v>
      </c>
      <c r="F141">
        <v>27466304.219999999</v>
      </c>
      <c r="G141">
        <v>50</v>
      </c>
      <c r="H141">
        <v>49</v>
      </c>
      <c r="I141">
        <v>3869</v>
      </c>
      <c r="J141">
        <v>614539</v>
      </c>
      <c r="K141">
        <v>268200</v>
      </c>
      <c r="L141">
        <v>7261844</v>
      </c>
      <c r="M141">
        <v>4.41</v>
      </c>
      <c r="N141" t="s">
        <v>24</v>
      </c>
      <c r="O141" s="5">
        <f>PortfolioData[[#This Row],[Occupied_Units]]*PortfolioData[[#This Row],[Avg_Rent_per_Unit]]*12</f>
        <v>2274972</v>
      </c>
      <c r="P141" s="3">
        <f>1-(PortfolioData[[#This Row],[Occupied_Units]]/PortfolioData[[#This Row],[Units]])</f>
        <v>2.0000000000000018E-2</v>
      </c>
      <c r="Q141" s="5">
        <f>PortfolioData[[#This Row],[Gross_Rental_Income]] - PortfolioData[[#This Row],[Operating_Cost]] - PortfolioData[[#This Row],[Maintenance_Cost]]</f>
        <v>1392233</v>
      </c>
      <c r="R141" s="5">
        <f>PortfolioData[[#This Row],[Adjusted_Debt_Outstanding]]*(PortfolioData[[#This Row],[Interest_Rate]]/100)</f>
        <v>320247.32040000003</v>
      </c>
      <c r="S141" s="5">
        <f>MIN(PortfolioData[[#This Row],[Debt_Outstanding]], PortfolioData[[#This Row],[Current_Value]]*0.8)</f>
        <v>7261844</v>
      </c>
      <c r="T141" s="5">
        <f>PortfolioData[[#This Row],[Net Operating Income (NOI)]]/PortfolioData[[#This Row],[Annual_Debt_Service]]</f>
        <v>4.3473681474088606</v>
      </c>
      <c r="U141" s="5">
        <f>PortfolioData[[#This Row],[Net Operating Income (NOI)]]-PortfolioData[[#This Row],[Annual_Debt_Service]]</f>
        <v>1071985.6795999999</v>
      </c>
      <c r="V141" s="5">
        <f>PortfolioData[[#This Row],[Net Operating Income (NOI)]]</f>
        <v>1392233</v>
      </c>
      <c r="W141" s="3">
        <f>PortfolioData[[#This Row],[Gross_Rental_Income]] / PortfolioData[[#This Row],[Purchase_Price]]</f>
        <v>0.10022425839303689</v>
      </c>
      <c r="X141" s="3">
        <f>PortfolioData[[#This Row],[Net Operating Income (NOI)]]/PortfolioData[[#This Row],[Current_Value]]</f>
        <v>5.0688763542720276E-2</v>
      </c>
      <c r="Y141" s="3">
        <f>(PortfolioData[[#This Row],[Current_Value]]-PortfolioData[[#This Row],[Purchase_Price]]+PortfolioData[[#This Row],[Net Operating Income (NOI)]]) / PortfolioData[[#This Row],[Purchase_Price]]</f>
        <v>0.27136751185612495</v>
      </c>
      <c r="Z141" s="5">
        <f>_xlfn.PERCENTRANK.INC(PortfolioData[ROI],PortfolioData[[#This Row],[ROI]])</f>
        <v>0.59699999999999998</v>
      </c>
      <c r="AA141" s="3" t="str">
        <f>IF(PortfolioData[[#This Row],[ROI_Percentile]]&lt;=0.1,"Underperforming","Healthy")</f>
        <v>Healthy</v>
      </c>
      <c r="AB141" s="3">
        <f>PortfolioData[[#This Row],[Debt_Outstanding]]/PortfolioData[[#This Row],[Current_Value]]</f>
        <v>0.26439101314228436</v>
      </c>
      <c r="AC141">
        <f>PortfolioData[[#This Row],[Units]]*PortfolioData[[#This Row],[Avg_Rent_per_Unit]]*12</f>
        <v>2321400</v>
      </c>
      <c r="AD141" s="13">
        <f>PortfolioData[[#This Row],[Potential_Revenue]]-PortfolioData[[#This Row],[Gross_Rental_Income]]</f>
        <v>46428</v>
      </c>
      <c r="AE141" s="3">
        <f>IFERROR(PortfolioData[[#This Row],[Vacancy_Loss]]/PortfolioData[[#This Row],[Potential_Revenue]],0)</f>
        <v>0.02</v>
      </c>
      <c r="AF141" s="17">
        <f xml:space="preserve"> (PortfolioData[[#This Row],[Vacancy_%]] * 0.4) + (PortfolioData[[#This Row],[Debt_Ratio]] * 0.3) + (PortfolioData[[#This Row],[Interest_Rate]]/100 * 0.3)</f>
        <v>0.10054730394268532</v>
      </c>
    </row>
    <row r="142" spans="1:32" x14ac:dyDescent="0.3">
      <c r="A142" t="s">
        <v>14</v>
      </c>
      <c r="B142" t="s">
        <v>15</v>
      </c>
      <c r="C142" t="s">
        <v>16</v>
      </c>
      <c r="D142">
        <v>2016</v>
      </c>
      <c r="E142">
        <v>22618075</v>
      </c>
      <c r="F142">
        <v>24280074.600000001</v>
      </c>
      <c r="G142">
        <v>67</v>
      </c>
      <c r="H142">
        <v>60</v>
      </c>
      <c r="I142">
        <v>4614</v>
      </c>
      <c r="J142">
        <v>472824</v>
      </c>
      <c r="K142">
        <v>442168</v>
      </c>
      <c r="L142">
        <v>2519285</v>
      </c>
      <c r="M142">
        <v>6.37</v>
      </c>
      <c r="N142" t="s">
        <v>17</v>
      </c>
      <c r="O142" s="5">
        <f>PortfolioData[[#This Row],[Occupied_Units]]*PortfolioData[[#This Row],[Avg_Rent_per_Unit]]*12</f>
        <v>3322080</v>
      </c>
      <c r="P142" s="3">
        <f>1-(PortfolioData[[#This Row],[Occupied_Units]]/PortfolioData[[#This Row],[Units]])</f>
        <v>0.10447761194029848</v>
      </c>
      <c r="Q142" s="5">
        <f>PortfolioData[[#This Row],[Gross_Rental_Income]] - PortfolioData[[#This Row],[Operating_Cost]] - PortfolioData[[#This Row],[Maintenance_Cost]]</f>
        <v>2407088</v>
      </c>
      <c r="R142" s="5">
        <f>PortfolioData[[#This Row],[Adjusted_Debt_Outstanding]]*(PortfolioData[[#This Row],[Interest_Rate]]/100)</f>
        <v>160478.45450000002</v>
      </c>
      <c r="S142" s="5">
        <f>MIN(PortfolioData[[#This Row],[Debt_Outstanding]], PortfolioData[[#This Row],[Current_Value]]*0.8)</f>
        <v>2519285</v>
      </c>
      <c r="T142" s="5">
        <f>PortfolioData[[#This Row],[Net Operating Income (NOI)]]/PortfolioData[[#This Row],[Annual_Debt_Service]]</f>
        <v>14.999446545642048</v>
      </c>
      <c r="U142" s="5">
        <f>PortfolioData[[#This Row],[Net Operating Income (NOI)]]-PortfolioData[[#This Row],[Annual_Debt_Service]]</f>
        <v>2246609.5455</v>
      </c>
      <c r="V142" s="5">
        <f>PortfolioData[[#This Row],[Net Operating Income (NOI)]]</f>
        <v>2407088</v>
      </c>
      <c r="W142" s="3">
        <f>PortfolioData[[#This Row],[Gross_Rental_Income]] / PortfolioData[[#This Row],[Purchase_Price]]</f>
        <v>0.14687722098366018</v>
      </c>
      <c r="X142" s="3">
        <f>PortfolioData[[#This Row],[Net Operating Income (NOI)]]/PortfolioData[[#This Row],[Current_Value]]</f>
        <v>9.9138410390221782E-2</v>
      </c>
      <c r="Y142" s="3">
        <f>(PortfolioData[[#This Row],[Current_Value]]-PortfolioData[[#This Row],[Purchase_Price]]+PortfolioData[[#This Row],[Net Operating Income (NOI)]]) / PortfolioData[[#This Row],[Purchase_Price]]</f>
        <v>0.17990424030338575</v>
      </c>
      <c r="Z142" s="5">
        <f>_xlfn.PERCENTRANK.INC(PortfolioData[ROI],PortfolioData[[#This Row],[ROI]])</f>
        <v>0.436</v>
      </c>
      <c r="AA142" s="3" t="str">
        <f>IF(PortfolioData[[#This Row],[ROI_Percentile]]&lt;=0.1,"Underperforming","Healthy")</f>
        <v>Healthy</v>
      </c>
      <c r="AB142" s="3">
        <f>PortfolioData[[#This Row],[Debt_Outstanding]]/PortfolioData[[#This Row],[Current_Value]]</f>
        <v>0.10375935994858927</v>
      </c>
      <c r="AC142">
        <f>PortfolioData[[#This Row],[Units]]*PortfolioData[[#This Row],[Avg_Rent_per_Unit]]*12</f>
        <v>3709656</v>
      </c>
      <c r="AD142" s="13">
        <f>PortfolioData[[#This Row],[Potential_Revenue]]-PortfolioData[[#This Row],[Gross_Rental_Income]]</f>
        <v>387576</v>
      </c>
      <c r="AE142" s="3">
        <f>IFERROR(PortfolioData[[#This Row],[Vacancy_Loss]]/PortfolioData[[#This Row],[Potential_Revenue]],0)</f>
        <v>0.1044776119402985</v>
      </c>
      <c r="AF142" s="17">
        <f xml:space="preserve"> (PortfolioData[[#This Row],[Vacancy_%]] * 0.4) + (PortfolioData[[#This Row],[Debt_Ratio]] * 0.3) + (PortfolioData[[#This Row],[Interest_Rate]]/100 * 0.3)</f>
        <v>9.2028852760696181E-2</v>
      </c>
    </row>
    <row r="143" spans="1:32" x14ac:dyDescent="0.3">
      <c r="A143" t="s">
        <v>149</v>
      </c>
      <c r="B143" t="s">
        <v>15</v>
      </c>
      <c r="C143" t="s">
        <v>30</v>
      </c>
      <c r="D143">
        <v>2017</v>
      </c>
      <c r="E143">
        <v>16433124</v>
      </c>
      <c r="F143">
        <v>22208361.289999999</v>
      </c>
      <c r="G143">
        <v>62</v>
      </c>
      <c r="H143">
        <v>61</v>
      </c>
      <c r="I143">
        <v>4516</v>
      </c>
      <c r="J143">
        <v>864447</v>
      </c>
      <c r="K143">
        <v>190505</v>
      </c>
      <c r="L143">
        <v>5380987</v>
      </c>
      <c r="M143">
        <v>4.29</v>
      </c>
      <c r="N143" t="s">
        <v>17</v>
      </c>
      <c r="O143" s="5">
        <f>PortfolioData[[#This Row],[Occupied_Units]]*PortfolioData[[#This Row],[Avg_Rent_per_Unit]]*12</f>
        <v>3305712</v>
      </c>
      <c r="P143" s="3">
        <f>1-(PortfolioData[[#This Row],[Occupied_Units]]/PortfolioData[[#This Row],[Units]])</f>
        <v>1.6129032258064502E-2</v>
      </c>
      <c r="Q143" s="5">
        <f>PortfolioData[[#This Row],[Gross_Rental_Income]] - PortfolioData[[#This Row],[Operating_Cost]] - PortfolioData[[#This Row],[Maintenance_Cost]]</f>
        <v>2250760</v>
      </c>
      <c r="R143" s="5">
        <f>PortfolioData[[#This Row],[Adjusted_Debt_Outstanding]]*(PortfolioData[[#This Row],[Interest_Rate]]/100)</f>
        <v>230844.34229999999</v>
      </c>
      <c r="S143" s="5">
        <f>MIN(PortfolioData[[#This Row],[Debt_Outstanding]], PortfolioData[[#This Row],[Current_Value]]*0.8)</f>
        <v>5380987</v>
      </c>
      <c r="T143" s="5">
        <f>PortfolioData[[#This Row],[Net Operating Income (NOI)]]/PortfolioData[[#This Row],[Annual_Debt_Service]]</f>
        <v>9.7501198321549687</v>
      </c>
      <c r="U143" s="5">
        <f>PortfolioData[[#This Row],[Net Operating Income (NOI)]]-PortfolioData[[#This Row],[Annual_Debt_Service]]</f>
        <v>2019915.6577000001</v>
      </c>
      <c r="V143" s="5">
        <f>PortfolioData[[#This Row],[Net Operating Income (NOI)]]</f>
        <v>2250760</v>
      </c>
      <c r="W143" s="3">
        <f>PortfolioData[[#This Row],[Gross_Rental_Income]] / PortfolioData[[#This Row],[Purchase_Price]]</f>
        <v>0.20116150769628466</v>
      </c>
      <c r="X143" s="3">
        <f>PortfolioData[[#This Row],[Net Operating Income (NOI)]]/PortfolioData[[#This Row],[Current_Value]]</f>
        <v>0.1013474146340313</v>
      </c>
      <c r="Y143" s="3">
        <f>(PortfolioData[[#This Row],[Current_Value]]-PortfolioData[[#This Row],[Purchase_Price]]+PortfolioData[[#This Row],[Net Operating Income (NOI)]]) / PortfolioData[[#This Row],[Purchase_Price]]</f>
        <v>0.48840362246399399</v>
      </c>
      <c r="Z143" s="5">
        <f>_xlfn.PERCENTRANK.INC(PortfolioData[ROI],PortfolioData[[#This Row],[ROI]])</f>
        <v>0.94599999999999995</v>
      </c>
      <c r="AA143" s="3" t="str">
        <f>IF(PortfolioData[[#This Row],[ROI_Percentile]]&lt;=0.1,"Underperforming","Healthy")</f>
        <v>Healthy</v>
      </c>
      <c r="AB143" s="3">
        <f>PortfolioData[[#This Row],[Debt_Outstanding]]/PortfolioData[[#This Row],[Current_Value]]</f>
        <v>0.24229554489564953</v>
      </c>
      <c r="AC143">
        <f>PortfolioData[[#This Row],[Units]]*PortfolioData[[#This Row],[Avg_Rent_per_Unit]]*12</f>
        <v>3359904</v>
      </c>
      <c r="AD143" s="13">
        <f>PortfolioData[[#This Row],[Potential_Revenue]]-PortfolioData[[#This Row],[Gross_Rental_Income]]</f>
        <v>54192</v>
      </c>
      <c r="AE143" s="3">
        <f>IFERROR(PortfolioData[[#This Row],[Vacancy_Loss]]/PortfolioData[[#This Row],[Potential_Revenue]],0)</f>
        <v>1.6129032258064516E-2</v>
      </c>
      <c r="AF143" s="17">
        <f xml:space="preserve"> (PortfolioData[[#This Row],[Vacancy_%]] * 0.4) + (PortfolioData[[#This Row],[Debt_Ratio]] * 0.3) + (PortfolioData[[#This Row],[Interest_Rate]]/100 * 0.3)</f>
        <v>9.2010276371920663E-2</v>
      </c>
    </row>
    <row r="144" spans="1:32" x14ac:dyDescent="0.3">
      <c r="A144" t="s">
        <v>143</v>
      </c>
      <c r="B144" t="s">
        <v>27</v>
      </c>
      <c r="C144" t="s">
        <v>30</v>
      </c>
      <c r="D144">
        <v>2018</v>
      </c>
      <c r="E144">
        <v>22649621</v>
      </c>
      <c r="F144">
        <v>20626969.620000001</v>
      </c>
      <c r="G144">
        <v>55</v>
      </c>
      <c r="H144">
        <v>50</v>
      </c>
      <c r="I144">
        <v>3501</v>
      </c>
      <c r="J144">
        <v>727604</v>
      </c>
      <c r="K144">
        <v>239359</v>
      </c>
      <c r="L144">
        <v>2881090</v>
      </c>
      <c r="M144">
        <v>4.4800000000000004</v>
      </c>
      <c r="N144" t="s">
        <v>17</v>
      </c>
      <c r="O144" s="5">
        <f>PortfolioData[[#This Row],[Occupied_Units]]*PortfolioData[[#This Row],[Avg_Rent_per_Unit]]*12</f>
        <v>2100600</v>
      </c>
      <c r="P144" s="3">
        <f>1-(PortfolioData[[#This Row],[Occupied_Units]]/PortfolioData[[#This Row],[Units]])</f>
        <v>9.0909090909090939E-2</v>
      </c>
      <c r="Q144" s="5">
        <f>PortfolioData[[#This Row],[Gross_Rental_Income]] - PortfolioData[[#This Row],[Operating_Cost]] - PortfolioData[[#This Row],[Maintenance_Cost]]</f>
        <v>1133637</v>
      </c>
      <c r="R144" s="5">
        <f>PortfolioData[[#This Row],[Adjusted_Debt_Outstanding]]*(PortfolioData[[#This Row],[Interest_Rate]]/100)</f>
        <v>129072.83200000002</v>
      </c>
      <c r="S144" s="5">
        <f>MIN(PortfolioData[[#This Row],[Debt_Outstanding]], PortfolioData[[#This Row],[Current_Value]]*0.8)</f>
        <v>2881090</v>
      </c>
      <c r="T144" s="5">
        <f>PortfolioData[[#This Row],[Net Operating Income (NOI)]]/PortfolioData[[#This Row],[Annual_Debt_Service]]</f>
        <v>8.7829249768068909</v>
      </c>
      <c r="U144" s="5">
        <f>PortfolioData[[#This Row],[Net Operating Income (NOI)]]-PortfolioData[[#This Row],[Annual_Debt_Service]]</f>
        <v>1004564.1679999999</v>
      </c>
      <c r="V144" s="5">
        <f>PortfolioData[[#This Row],[Net Operating Income (NOI)]]</f>
        <v>1133637</v>
      </c>
      <c r="W144" s="3">
        <f>PortfolioData[[#This Row],[Gross_Rental_Income]] / PortfolioData[[#This Row],[Purchase_Price]]</f>
        <v>9.2743273717471916E-2</v>
      </c>
      <c r="X144" s="3">
        <f>PortfolioData[[#This Row],[Net Operating Income (NOI)]]/PortfolioData[[#This Row],[Current_Value]]</f>
        <v>5.4958969780069901E-2</v>
      </c>
      <c r="Y144" s="3">
        <f>(PortfolioData[[#This Row],[Current_Value]]-PortfolioData[[#This Row],[Purchase_Price]]+PortfolioData[[#This Row],[Net Operating Income (NOI)]]) / PortfolioData[[#This Row],[Purchase_Price]]</f>
        <v>-3.9250739780590543E-2</v>
      </c>
      <c r="Z144" s="5">
        <f>_xlfn.PERCENTRANK.INC(PortfolioData[ROI],PortfolioData[[#This Row],[ROI]])</f>
        <v>9.2999999999999999E-2</v>
      </c>
      <c r="AA144" s="3" t="str">
        <f>IF(PortfolioData[[#This Row],[ROI_Percentile]]&lt;=0.1,"Underperforming","Healthy")</f>
        <v>Underperforming</v>
      </c>
      <c r="AB144" s="3">
        <f>PortfolioData[[#This Row],[Debt_Outstanding]]/PortfolioData[[#This Row],[Current_Value]]</f>
        <v>0.13967587353241082</v>
      </c>
      <c r="AC144">
        <f>PortfolioData[[#This Row],[Units]]*PortfolioData[[#This Row],[Avg_Rent_per_Unit]]*12</f>
        <v>2310660</v>
      </c>
      <c r="AD144" s="13">
        <f>PortfolioData[[#This Row],[Potential_Revenue]]-PortfolioData[[#This Row],[Gross_Rental_Income]]</f>
        <v>210060</v>
      </c>
      <c r="AE144" s="3">
        <f>IFERROR(PortfolioData[[#This Row],[Vacancy_Loss]]/PortfolioData[[#This Row],[Potential_Revenue]],0)</f>
        <v>9.0909090909090912E-2</v>
      </c>
      <c r="AF144" s="17">
        <f xml:space="preserve"> (PortfolioData[[#This Row],[Vacancy_%]] * 0.4) + (PortfolioData[[#This Row],[Debt_Ratio]] * 0.3) + (PortfolioData[[#This Row],[Interest_Rate]]/100 * 0.3)</f>
        <v>9.170639842335962E-2</v>
      </c>
    </row>
    <row r="145" spans="1:32" x14ac:dyDescent="0.3">
      <c r="A145" t="s">
        <v>50</v>
      </c>
      <c r="B145" t="s">
        <v>22</v>
      </c>
      <c r="C145" t="s">
        <v>23</v>
      </c>
      <c r="D145">
        <v>2015</v>
      </c>
      <c r="E145">
        <v>10313114</v>
      </c>
      <c r="F145">
        <v>12709653.550000001</v>
      </c>
      <c r="G145">
        <v>72</v>
      </c>
      <c r="H145">
        <v>71</v>
      </c>
      <c r="I145">
        <v>4595</v>
      </c>
      <c r="J145">
        <v>565310</v>
      </c>
      <c r="K145">
        <v>431061</v>
      </c>
      <c r="L145">
        <v>2482024</v>
      </c>
      <c r="M145">
        <v>4.37</v>
      </c>
      <c r="N145" t="s">
        <v>24</v>
      </c>
      <c r="O145" s="5">
        <f>PortfolioData[[#This Row],[Occupied_Units]]*PortfolioData[[#This Row],[Avg_Rent_per_Unit]]*12</f>
        <v>3914940</v>
      </c>
      <c r="P145" s="3">
        <f>1-(PortfolioData[[#This Row],[Occupied_Units]]/PortfolioData[[#This Row],[Units]])</f>
        <v>1.388888888888884E-2</v>
      </c>
      <c r="Q145" s="5">
        <f>PortfolioData[[#This Row],[Gross_Rental_Income]] - PortfolioData[[#This Row],[Operating_Cost]] - PortfolioData[[#This Row],[Maintenance_Cost]]</f>
        <v>2918569</v>
      </c>
      <c r="R145" s="5">
        <f>PortfolioData[[#This Row],[Adjusted_Debt_Outstanding]]*(PortfolioData[[#This Row],[Interest_Rate]]/100)</f>
        <v>108464.44880000001</v>
      </c>
      <c r="S145" s="5">
        <f>MIN(PortfolioData[[#This Row],[Debt_Outstanding]], PortfolioData[[#This Row],[Current_Value]]*0.8)</f>
        <v>2482024</v>
      </c>
      <c r="T145" s="5">
        <f>PortfolioData[[#This Row],[Net Operating Income (NOI)]]/PortfolioData[[#This Row],[Annual_Debt_Service]]</f>
        <v>26.908070176815389</v>
      </c>
      <c r="U145" s="5">
        <f>PortfolioData[[#This Row],[Net Operating Income (NOI)]]-PortfolioData[[#This Row],[Annual_Debt_Service]]</f>
        <v>2810104.5512000001</v>
      </c>
      <c r="V145" s="5">
        <f>PortfolioData[[#This Row],[Net Operating Income (NOI)]]</f>
        <v>2918569</v>
      </c>
      <c r="W145" s="3">
        <f>PortfolioData[[#This Row],[Gross_Rental_Income]] / PortfolioData[[#This Row],[Purchase_Price]]</f>
        <v>0.37960794382763535</v>
      </c>
      <c r="X145" s="3">
        <f>PortfolioData[[#This Row],[Net Operating Income (NOI)]]/PortfolioData[[#This Row],[Current_Value]]</f>
        <v>0.2296340327860471</v>
      </c>
      <c r="Y145" s="3">
        <f>(PortfolioData[[#This Row],[Current_Value]]-PortfolioData[[#This Row],[Purchase_Price]]+PortfolioData[[#This Row],[Net Operating Income (NOI)]]) / PortfolioData[[#This Row],[Purchase_Price]]</f>
        <v>0.51537378041200754</v>
      </c>
      <c r="Z145" s="5">
        <f>_xlfn.PERCENTRANK.INC(PortfolioData[ROI],PortfolioData[[#This Row],[ROI]])</f>
        <v>0.97299999999999998</v>
      </c>
      <c r="AA145" s="3" t="str">
        <f>IF(PortfolioData[[#This Row],[ROI_Percentile]]&lt;=0.1,"Underperforming","Healthy")</f>
        <v>Healthy</v>
      </c>
      <c r="AB145" s="3">
        <f>PortfolioData[[#This Row],[Debt_Outstanding]]/PortfolioData[[#This Row],[Current_Value]]</f>
        <v>0.19528651904126842</v>
      </c>
      <c r="AC145">
        <f>PortfolioData[[#This Row],[Units]]*PortfolioData[[#This Row],[Avg_Rent_per_Unit]]*12</f>
        <v>3970080</v>
      </c>
      <c r="AD145" s="13">
        <f>PortfolioData[[#This Row],[Potential_Revenue]]-PortfolioData[[#This Row],[Gross_Rental_Income]]</f>
        <v>55140</v>
      </c>
      <c r="AE145" s="3">
        <f>IFERROR(PortfolioData[[#This Row],[Vacancy_Loss]]/PortfolioData[[#This Row],[Potential_Revenue]],0)</f>
        <v>1.3888888888888888E-2</v>
      </c>
      <c r="AF145" s="17">
        <f xml:space="preserve"> (PortfolioData[[#This Row],[Vacancy_%]] * 0.4) + (PortfolioData[[#This Row],[Debt_Ratio]] * 0.3) + (PortfolioData[[#This Row],[Interest_Rate]]/100 * 0.3)</f>
        <v>7.7251511267936057E-2</v>
      </c>
    </row>
    <row r="146" spans="1:32" x14ac:dyDescent="0.3">
      <c r="A146" t="s">
        <v>122</v>
      </c>
      <c r="B146" t="s">
        <v>27</v>
      </c>
      <c r="C146" t="s">
        <v>20</v>
      </c>
      <c r="D146">
        <v>2013</v>
      </c>
      <c r="E146">
        <v>19651777</v>
      </c>
      <c r="F146">
        <v>18798416.52</v>
      </c>
      <c r="G146">
        <v>76</v>
      </c>
      <c r="H146">
        <v>75</v>
      </c>
      <c r="I146">
        <v>5968</v>
      </c>
      <c r="J146">
        <v>840369</v>
      </c>
      <c r="K146">
        <v>389476</v>
      </c>
      <c r="L146">
        <v>3280662</v>
      </c>
      <c r="M146">
        <v>6.03</v>
      </c>
      <c r="N146" t="s">
        <v>24</v>
      </c>
      <c r="O146" s="5">
        <f>PortfolioData[[#This Row],[Occupied_Units]]*PortfolioData[[#This Row],[Avg_Rent_per_Unit]]*12</f>
        <v>5371200</v>
      </c>
      <c r="P146" s="3">
        <f>1-(PortfolioData[[#This Row],[Occupied_Units]]/PortfolioData[[#This Row],[Units]])</f>
        <v>1.3157894736842146E-2</v>
      </c>
      <c r="Q146" s="5">
        <f>PortfolioData[[#This Row],[Gross_Rental_Income]] - PortfolioData[[#This Row],[Operating_Cost]] - PortfolioData[[#This Row],[Maintenance_Cost]]</f>
        <v>4141355</v>
      </c>
      <c r="R146" s="5">
        <f>PortfolioData[[#This Row],[Adjusted_Debt_Outstanding]]*(PortfolioData[[#This Row],[Interest_Rate]]/100)</f>
        <v>197823.9186</v>
      </c>
      <c r="S146" s="5">
        <f>MIN(PortfolioData[[#This Row],[Debt_Outstanding]], PortfolioData[[#This Row],[Current_Value]]*0.8)</f>
        <v>3280662</v>
      </c>
      <c r="T146" s="5">
        <f>PortfolioData[[#This Row],[Net Operating Income (NOI)]]/PortfolioData[[#This Row],[Annual_Debt_Service]]</f>
        <v>20.93455144002996</v>
      </c>
      <c r="U146" s="5">
        <f>PortfolioData[[#This Row],[Net Operating Income (NOI)]]-PortfolioData[[#This Row],[Annual_Debt_Service]]</f>
        <v>3943531.0814</v>
      </c>
      <c r="V146" s="5">
        <f>PortfolioData[[#This Row],[Net Operating Income (NOI)]]</f>
        <v>4141355</v>
      </c>
      <c r="W146" s="3">
        <f>PortfolioData[[#This Row],[Gross_Rental_Income]] / PortfolioData[[#This Row],[Purchase_Price]]</f>
        <v>0.27331879452937002</v>
      </c>
      <c r="X146" s="3">
        <f>PortfolioData[[#This Row],[Net Operating Income (NOI)]]/PortfolioData[[#This Row],[Current_Value]]</f>
        <v>0.22030339606497878</v>
      </c>
      <c r="Y146" s="3">
        <f>(PortfolioData[[#This Row],[Current_Value]]-PortfolioData[[#This Row],[Purchase_Price]]+PortfolioData[[#This Row],[Net Operating Income (NOI)]]) / PortfolioData[[#This Row],[Purchase_Price]]</f>
        <v>0.16731283486475546</v>
      </c>
      <c r="Z146" s="5">
        <f>_xlfn.PERCENTRANK.INC(PortfolioData[ROI],PortfolioData[[#This Row],[ROI]])</f>
        <v>0.40200000000000002</v>
      </c>
      <c r="AA146" s="3" t="str">
        <f>IF(PortfolioData[[#This Row],[ROI_Percentile]]&lt;=0.1,"Underperforming","Healthy")</f>
        <v>Healthy</v>
      </c>
      <c r="AB146" s="3">
        <f>PortfolioData[[#This Row],[Debt_Outstanding]]/PortfolioData[[#This Row],[Current_Value]]</f>
        <v>0.17451799711479105</v>
      </c>
      <c r="AC146">
        <f>PortfolioData[[#This Row],[Units]]*PortfolioData[[#This Row],[Avg_Rent_per_Unit]]*12</f>
        <v>5442816</v>
      </c>
      <c r="AD146" s="13">
        <f>PortfolioData[[#This Row],[Potential_Revenue]]-PortfolioData[[#This Row],[Gross_Rental_Income]]</f>
        <v>71616</v>
      </c>
      <c r="AE146" s="3">
        <f>IFERROR(PortfolioData[[#This Row],[Vacancy_Loss]]/PortfolioData[[#This Row],[Potential_Revenue]],0)</f>
        <v>1.3157894736842105E-2</v>
      </c>
      <c r="AF146" s="17">
        <f xml:space="preserve"> (PortfolioData[[#This Row],[Vacancy_%]] * 0.4) + (PortfolioData[[#This Row],[Debt_Ratio]] * 0.3) + (PortfolioData[[#This Row],[Interest_Rate]]/100 * 0.3)</f>
        <v>7.5708557029174173E-2</v>
      </c>
    </row>
    <row r="147" spans="1:32" x14ac:dyDescent="0.3">
      <c r="A147" t="s">
        <v>37</v>
      </c>
      <c r="B147" t="s">
        <v>35</v>
      </c>
      <c r="C147" t="s">
        <v>20</v>
      </c>
      <c r="D147">
        <v>2014</v>
      </c>
      <c r="E147">
        <v>24798414</v>
      </c>
      <c r="F147">
        <v>32241083.140000001</v>
      </c>
      <c r="G147">
        <v>15</v>
      </c>
      <c r="H147">
        <v>15</v>
      </c>
      <c r="I147">
        <v>2833</v>
      </c>
      <c r="J147">
        <v>466805</v>
      </c>
      <c r="K147">
        <v>213171</v>
      </c>
      <c r="L147">
        <v>6998180</v>
      </c>
      <c r="M147">
        <v>3.53</v>
      </c>
      <c r="N147" t="s">
        <v>24</v>
      </c>
      <c r="O147" s="5">
        <f>PortfolioData[[#This Row],[Occupied_Units]]*PortfolioData[[#This Row],[Avg_Rent_per_Unit]]*12</f>
        <v>509940</v>
      </c>
      <c r="P147" s="3">
        <f>1-(PortfolioData[[#This Row],[Occupied_Units]]/PortfolioData[[#This Row],[Units]])</f>
        <v>0</v>
      </c>
      <c r="Q147" s="5">
        <f>PortfolioData[[#This Row],[Gross_Rental_Income]] - PortfolioData[[#This Row],[Operating_Cost]] - PortfolioData[[#This Row],[Maintenance_Cost]]</f>
        <v>-170036</v>
      </c>
      <c r="R147" s="5">
        <f>PortfolioData[[#This Row],[Adjusted_Debt_Outstanding]]*(PortfolioData[[#This Row],[Interest_Rate]]/100)</f>
        <v>247035.75399999999</v>
      </c>
      <c r="S147" s="5">
        <f>MIN(PortfolioData[[#This Row],[Debt_Outstanding]], PortfolioData[[#This Row],[Current_Value]]*0.8)</f>
        <v>6998180</v>
      </c>
      <c r="T147" s="5">
        <f>PortfolioData[[#This Row],[Net Operating Income (NOI)]]/PortfolioData[[#This Row],[Annual_Debt_Service]]</f>
        <v>-0.68830522402842143</v>
      </c>
      <c r="U147" s="5">
        <f>PortfolioData[[#This Row],[Net Operating Income (NOI)]]-PortfolioData[[#This Row],[Annual_Debt_Service]]</f>
        <v>-417071.75399999996</v>
      </c>
      <c r="V147" s="5">
        <f>PortfolioData[[#This Row],[Net Operating Income (NOI)]]</f>
        <v>-170036</v>
      </c>
      <c r="W147" s="3">
        <f>PortfolioData[[#This Row],[Gross_Rental_Income]] / PortfolioData[[#This Row],[Purchase_Price]]</f>
        <v>2.0563411837547351E-2</v>
      </c>
      <c r="X147" s="3">
        <f>PortfolioData[[#This Row],[Net Operating Income (NOI)]]/PortfolioData[[#This Row],[Current_Value]]</f>
        <v>-5.2738922964112303E-3</v>
      </c>
      <c r="Y147" s="3">
        <f>(PortfolioData[[#This Row],[Current_Value]]-PortfolioData[[#This Row],[Purchase_Price]]+PortfolioData[[#This Row],[Net Operating Income (NOI)]]) / PortfolioData[[#This Row],[Purchase_Price]]</f>
        <v>0.293270091385683</v>
      </c>
      <c r="Z147" s="5">
        <f>_xlfn.PERCENTRANK.INC(PortfolioData[ROI],PortfolioData[[#This Row],[ROI]])</f>
        <v>0.67100000000000004</v>
      </c>
      <c r="AA147" s="3" t="str">
        <f>IF(PortfolioData[[#This Row],[ROI_Percentile]]&lt;=0.1,"Underperforming","Healthy")</f>
        <v>Healthy</v>
      </c>
      <c r="AB147" s="3">
        <f>PortfolioData[[#This Row],[Debt_Outstanding]]/PortfolioData[[#This Row],[Current_Value]]</f>
        <v>0.21705784416770063</v>
      </c>
      <c r="AC147">
        <f>PortfolioData[[#This Row],[Units]]*PortfolioData[[#This Row],[Avg_Rent_per_Unit]]*12</f>
        <v>509940</v>
      </c>
      <c r="AD147" s="13">
        <f>PortfolioData[[#This Row],[Potential_Revenue]]-PortfolioData[[#This Row],[Gross_Rental_Income]]</f>
        <v>0</v>
      </c>
      <c r="AE147" s="3">
        <f>IFERROR(PortfolioData[[#This Row],[Vacancy_Loss]]/PortfolioData[[#This Row],[Potential_Revenue]],0)</f>
        <v>0</v>
      </c>
      <c r="AF147" s="17">
        <f xml:space="preserve"> (PortfolioData[[#This Row],[Vacancy_%]] * 0.4) + (PortfolioData[[#This Row],[Debt_Ratio]] * 0.3) + (PortfolioData[[#This Row],[Interest_Rate]]/100 * 0.3)</f>
        <v>7.5707353250310194E-2</v>
      </c>
    </row>
    <row r="148" spans="1:32" x14ac:dyDescent="0.3">
      <c r="A148" t="s">
        <v>137</v>
      </c>
      <c r="B148" t="s">
        <v>15</v>
      </c>
      <c r="C148" t="s">
        <v>16</v>
      </c>
      <c r="D148">
        <v>2021</v>
      </c>
      <c r="E148">
        <v>15930095</v>
      </c>
      <c r="F148">
        <v>20628517.809999999</v>
      </c>
      <c r="G148">
        <v>54</v>
      </c>
      <c r="H148">
        <v>54</v>
      </c>
      <c r="I148">
        <v>4167</v>
      </c>
      <c r="J148">
        <v>654644</v>
      </c>
      <c r="K148">
        <v>208877</v>
      </c>
      <c r="L148">
        <v>3468474</v>
      </c>
      <c r="M148">
        <v>7.27</v>
      </c>
      <c r="N148" t="s">
        <v>24</v>
      </c>
      <c r="O148" s="5">
        <f>PortfolioData[[#This Row],[Occupied_Units]]*PortfolioData[[#This Row],[Avg_Rent_per_Unit]]*12</f>
        <v>2700216</v>
      </c>
      <c r="P148" s="3">
        <f>1-(PortfolioData[[#This Row],[Occupied_Units]]/PortfolioData[[#This Row],[Units]])</f>
        <v>0</v>
      </c>
      <c r="Q148" s="5">
        <f>PortfolioData[[#This Row],[Gross_Rental_Income]] - PortfolioData[[#This Row],[Operating_Cost]] - PortfolioData[[#This Row],[Maintenance_Cost]]</f>
        <v>1836695</v>
      </c>
      <c r="R148" s="5">
        <f>PortfolioData[[#This Row],[Adjusted_Debt_Outstanding]]*(PortfolioData[[#This Row],[Interest_Rate]]/100)</f>
        <v>252158.05979999999</v>
      </c>
      <c r="S148" s="5">
        <f>MIN(PortfolioData[[#This Row],[Debt_Outstanding]], PortfolioData[[#This Row],[Current_Value]]*0.8)</f>
        <v>3468474</v>
      </c>
      <c r="T148" s="5">
        <f>PortfolioData[[#This Row],[Net Operating Income (NOI)]]/PortfolioData[[#This Row],[Annual_Debt_Service]]</f>
        <v>7.2839036017995253</v>
      </c>
      <c r="U148" s="5">
        <f>PortfolioData[[#This Row],[Net Operating Income (NOI)]]-PortfolioData[[#This Row],[Annual_Debt_Service]]</f>
        <v>1584536.9402000001</v>
      </c>
      <c r="V148" s="5">
        <f>PortfolioData[[#This Row],[Net Operating Income (NOI)]]</f>
        <v>1836695</v>
      </c>
      <c r="W148" s="3">
        <f>PortfolioData[[#This Row],[Gross_Rental_Income]] / PortfolioData[[#This Row],[Purchase_Price]]</f>
        <v>0.16950407389284244</v>
      </c>
      <c r="X148" s="3">
        <f>PortfolioData[[#This Row],[Net Operating Income (NOI)]]/PortfolioData[[#This Row],[Current_Value]]</f>
        <v>8.9036692646411716E-2</v>
      </c>
      <c r="Y148" s="3">
        <f>(PortfolioData[[#This Row],[Current_Value]]-PortfolioData[[#This Row],[Purchase_Price]]+PortfolioData[[#This Row],[Net Operating Income (NOI)]]) / PortfolioData[[#This Row],[Purchase_Price]]</f>
        <v>0.4102372151578505</v>
      </c>
      <c r="Z148" s="5">
        <f>_xlfn.PERCENTRANK.INC(PortfolioData[ROI],PortfolioData[[#This Row],[ROI]])</f>
        <v>0.879</v>
      </c>
      <c r="AA148" s="3" t="str">
        <f>IF(PortfolioData[[#This Row],[ROI_Percentile]]&lt;=0.1,"Underperforming","Healthy")</f>
        <v>Healthy</v>
      </c>
      <c r="AB148" s="3">
        <f>PortfolioData[[#This Row],[Debt_Outstanding]]/PortfolioData[[#This Row],[Current_Value]]</f>
        <v>0.16813975836492734</v>
      </c>
      <c r="AC148">
        <f>PortfolioData[[#This Row],[Units]]*PortfolioData[[#This Row],[Avg_Rent_per_Unit]]*12</f>
        <v>2700216</v>
      </c>
      <c r="AD148" s="13">
        <f>PortfolioData[[#This Row],[Potential_Revenue]]-PortfolioData[[#This Row],[Gross_Rental_Income]]</f>
        <v>0</v>
      </c>
      <c r="AE148" s="3">
        <f>IFERROR(PortfolioData[[#This Row],[Vacancy_Loss]]/PortfolioData[[#This Row],[Potential_Revenue]],0)</f>
        <v>0</v>
      </c>
      <c r="AF148" s="17">
        <f xml:space="preserve"> (PortfolioData[[#This Row],[Vacancy_%]] * 0.4) + (PortfolioData[[#This Row],[Debt_Ratio]] * 0.3) + (PortfolioData[[#This Row],[Interest_Rate]]/100 * 0.3)</f>
        <v>7.2251927509478203E-2</v>
      </c>
    </row>
    <row r="149" spans="1:32" x14ac:dyDescent="0.3">
      <c r="A149" t="s">
        <v>60</v>
      </c>
      <c r="B149" t="s">
        <v>22</v>
      </c>
      <c r="C149" t="s">
        <v>23</v>
      </c>
      <c r="D149">
        <v>2010</v>
      </c>
      <c r="E149">
        <v>22875525</v>
      </c>
      <c r="F149">
        <v>31117449.370000001</v>
      </c>
      <c r="G149">
        <v>69</v>
      </c>
      <c r="H149">
        <v>69</v>
      </c>
      <c r="I149">
        <v>1519</v>
      </c>
      <c r="J149">
        <v>383432</v>
      </c>
      <c r="K149">
        <v>418938</v>
      </c>
      <c r="L149">
        <v>4484745</v>
      </c>
      <c r="M149">
        <v>6.68</v>
      </c>
      <c r="N149" t="s">
        <v>24</v>
      </c>
      <c r="O149" s="5">
        <f>PortfolioData[[#This Row],[Occupied_Units]]*PortfolioData[[#This Row],[Avg_Rent_per_Unit]]*12</f>
        <v>1257732</v>
      </c>
      <c r="P149" s="3">
        <f>1-(PortfolioData[[#This Row],[Occupied_Units]]/PortfolioData[[#This Row],[Units]])</f>
        <v>0</v>
      </c>
      <c r="Q149" s="5">
        <f>PortfolioData[[#This Row],[Gross_Rental_Income]] - PortfolioData[[#This Row],[Operating_Cost]] - PortfolioData[[#This Row],[Maintenance_Cost]]</f>
        <v>455362</v>
      </c>
      <c r="R149" s="5">
        <f>PortfolioData[[#This Row],[Adjusted_Debt_Outstanding]]*(PortfolioData[[#This Row],[Interest_Rate]]/100)</f>
        <v>299580.96600000001</v>
      </c>
      <c r="S149" s="5">
        <f>MIN(PortfolioData[[#This Row],[Debt_Outstanding]], PortfolioData[[#This Row],[Current_Value]]*0.8)</f>
        <v>4484745</v>
      </c>
      <c r="T149" s="5">
        <f>PortfolioData[[#This Row],[Net Operating Income (NOI)]]/PortfolioData[[#This Row],[Annual_Debt_Service]]</f>
        <v>1.5199964339523493</v>
      </c>
      <c r="U149" s="5">
        <f>PortfolioData[[#This Row],[Net Operating Income (NOI)]]-PortfolioData[[#This Row],[Annual_Debt_Service]]</f>
        <v>155781.03399999999</v>
      </c>
      <c r="V149" s="5">
        <f>PortfolioData[[#This Row],[Net Operating Income (NOI)]]</f>
        <v>455362</v>
      </c>
      <c r="W149" s="3">
        <f>PortfolioData[[#This Row],[Gross_Rental_Income]] / PortfolioData[[#This Row],[Purchase_Price]]</f>
        <v>5.4981557800312782E-2</v>
      </c>
      <c r="X149" s="3">
        <f>PortfolioData[[#This Row],[Net Operating Income (NOI)]]/PortfolioData[[#This Row],[Current_Value]]</f>
        <v>1.4633654403532495E-2</v>
      </c>
      <c r="Y149" s="3">
        <f>(PortfolioData[[#This Row],[Current_Value]]-PortfolioData[[#This Row],[Purchase_Price]]+PortfolioData[[#This Row],[Net Operating Income (NOI)]]) / PortfolioData[[#This Row],[Purchase_Price]]</f>
        <v>0.38020051430513624</v>
      </c>
      <c r="Z149" s="5">
        <f>_xlfn.PERCENTRANK.INC(PortfolioData[ROI],PortfolioData[[#This Row],[ROI]])</f>
        <v>0.83199999999999996</v>
      </c>
      <c r="AA149" s="3" t="str">
        <f>IF(PortfolioData[[#This Row],[ROI_Percentile]]&lt;=0.1,"Underperforming","Healthy")</f>
        <v>Healthy</v>
      </c>
      <c r="AB149" s="3">
        <f>PortfolioData[[#This Row],[Debt_Outstanding]]/PortfolioData[[#This Row],[Current_Value]]</f>
        <v>0.1441231556826664</v>
      </c>
      <c r="AC149">
        <f>PortfolioData[[#This Row],[Units]]*PortfolioData[[#This Row],[Avg_Rent_per_Unit]]*12</f>
        <v>1257732</v>
      </c>
      <c r="AD149" s="13">
        <f>PortfolioData[[#This Row],[Potential_Revenue]]-PortfolioData[[#This Row],[Gross_Rental_Income]]</f>
        <v>0</v>
      </c>
      <c r="AE149" s="3">
        <f>IFERROR(PortfolioData[[#This Row],[Vacancy_Loss]]/PortfolioData[[#This Row],[Potential_Revenue]],0)</f>
        <v>0</v>
      </c>
      <c r="AF149" s="17">
        <f xml:space="preserve"> (PortfolioData[[#This Row],[Vacancy_%]] * 0.4) + (PortfolioData[[#This Row],[Debt_Ratio]] * 0.3) + (PortfolioData[[#This Row],[Interest_Rate]]/100 * 0.3)</f>
        <v>6.3276946704799913E-2</v>
      </c>
    </row>
    <row r="150" spans="1:32" x14ac:dyDescent="0.3">
      <c r="A150" t="s">
        <v>138</v>
      </c>
      <c r="B150" t="s">
        <v>15</v>
      </c>
      <c r="C150" t="s">
        <v>23</v>
      </c>
      <c r="D150">
        <v>2015</v>
      </c>
      <c r="E150">
        <v>23083289</v>
      </c>
      <c r="F150">
        <v>28334462.300000001</v>
      </c>
      <c r="G150">
        <v>50</v>
      </c>
      <c r="H150">
        <v>50</v>
      </c>
      <c r="I150">
        <v>5214</v>
      </c>
      <c r="J150">
        <v>526450</v>
      </c>
      <c r="K150">
        <v>354025</v>
      </c>
      <c r="L150">
        <v>3620089</v>
      </c>
      <c r="M150">
        <v>6.79</v>
      </c>
      <c r="N150" t="s">
        <v>24</v>
      </c>
      <c r="O150" s="5">
        <f>PortfolioData[[#This Row],[Occupied_Units]]*PortfolioData[[#This Row],[Avg_Rent_per_Unit]]*12</f>
        <v>3128400</v>
      </c>
      <c r="P150" s="3">
        <f>1-(PortfolioData[[#This Row],[Occupied_Units]]/PortfolioData[[#This Row],[Units]])</f>
        <v>0</v>
      </c>
      <c r="Q150" s="5">
        <f>PortfolioData[[#This Row],[Gross_Rental_Income]] - PortfolioData[[#This Row],[Operating_Cost]] - PortfolioData[[#This Row],[Maintenance_Cost]]</f>
        <v>2247925</v>
      </c>
      <c r="R150" s="5">
        <f>PortfolioData[[#This Row],[Adjusted_Debt_Outstanding]]*(PortfolioData[[#This Row],[Interest_Rate]]/100)</f>
        <v>245804.04310000001</v>
      </c>
      <c r="S150" s="5">
        <f>MIN(PortfolioData[[#This Row],[Debt_Outstanding]], PortfolioData[[#This Row],[Current_Value]]*0.8)</f>
        <v>3620089</v>
      </c>
      <c r="T150" s="5">
        <f>PortfolioData[[#This Row],[Net Operating Income (NOI)]]/PortfolioData[[#This Row],[Annual_Debt_Service]]</f>
        <v>9.1451913143897343</v>
      </c>
      <c r="U150" s="5">
        <f>PortfolioData[[#This Row],[Net Operating Income (NOI)]]-PortfolioData[[#This Row],[Annual_Debt_Service]]</f>
        <v>2002120.9569000001</v>
      </c>
      <c r="V150" s="5">
        <f>PortfolioData[[#This Row],[Net Operating Income (NOI)]]</f>
        <v>2247925</v>
      </c>
      <c r="W150" s="3">
        <f>PortfolioData[[#This Row],[Gross_Rental_Income]] / PortfolioData[[#This Row],[Purchase_Price]]</f>
        <v>0.13552661407999528</v>
      </c>
      <c r="X150" s="3">
        <f>PortfolioData[[#This Row],[Net Operating Income (NOI)]]/PortfolioData[[#This Row],[Current_Value]]</f>
        <v>7.9335368224016017E-2</v>
      </c>
      <c r="Y150" s="3">
        <f>(PortfolioData[[#This Row],[Current_Value]]-PortfolioData[[#This Row],[Purchase_Price]]+PortfolioData[[#This Row],[Net Operating Income (NOI)]]) / PortfolioData[[#This Row],[Purchase_Price]]</f>
        <v>0.32487130841709777</v>
      </c>
      <c r="Z150" s="5">
        <f>_xlfn.PERCENTRANK.INC(PortfolioData[ROI],PortfolioData[[#This Row],[ROI]])</f>
        <v>0.72399999999999998</v>
      </c>
      <c r="AA150" s="3" t="str">
        <f>IF(PortfolioData[[#This Row],[ROI_Percentile]]&lt;=0.1,"Underperforming","Healthy")</f>
        <v>Healthy</v>
      </c>
      <c r="AB150" s="3">
        <f>PortfolioData[[#This Row],[Debt_Outstanding]]/PortfolioData[[#This Row],[Current_Value]]</f>
        <v>0.12776275623906932</v>
      </c>
      <c r="AC150">
        <f>PortfolioData[[#This Row],[Units]]*PortfolioData[[#This Row],[Avg_Rent_per_Unit]]*12</f>
        <v>3128400</v>
      </c>
      <c r="AD150" s="13">
        <f>PortfolioData[[#This Row],[Potential_Revenue]]-PortfolioData[[#This Row],[Gross_Rental_Income]]</f>
        <v>0</v>
      </c>
      <c r="AE150" s="3">
        <f>IFERROR(PortfolioData[[#This Row],[Vacancy_Loss]]/PortfolioData[[#This Row],[Potential_Revenue]],0)</f>
        <v>0</v>
      </c>
      <c r="AF150" s="17">
        <f xml:space="preserve"> (PortfolioData[[#This Row],[Vacancy_%]] * 0.4) + (PortfolioData[[#This Row],[Debt_Ratio]] * 0.3) + (PortfolioData[[#This Row],[Interest_Rate]]/100 * 0.3)</f>
        <v>5.8698826871720795E-2</v>
      </c>
    </row>
    <row r="151" spans="1:32" x14ac:dyDescent="0.3">
      <c r="A151" t="s">
        <v>45</v>
      </c>
      <c r="B151" t="s">
        <v>19</v>
      </c>
      <c r="C151" t="s">
        <v>30</v>
      </c>
      <c r="D151">
        <v>2018</v>
      </c>
      <c r="E151">
        <v>17326084</v>
      </c>
      <c r="F151">
        <v>20792269.329999998</v>
      </c>
      <c r="G151">
        <v>45</v>
      </c>
      <c r="H151">
        <v>45</v>
      </c>
      <c r="I151">
        <v>3261</v>
      </c>
      <c r="J151">
        <v>644442</v>
      </c>
      <c r="K151">
        <v>285760</v>
      </c>
      <c r="L151">
        <v>2598965</v>
      </c>
      <c r="M151">
        <v>3.77</v>
      </c>
      <c r="N151" t="s">
        <v>17</v>
      </c>
      <c r="O151" s="5">
        <f>PortfolioData[[#This Row],[Occupied_Units]]*PortfolioData[[#This Row],[Avg_Rent_per_Unit]]*12</f>
        <v>1760940</v>
      </c>
      <c r="P151" s="3">
        <f>1-(PortfolioData[[#This Row],[Occupied_Units]]/PortfolioData[[#This Row],[Units]])</f>
        <v>0</v>
      </c>
      <c r="Q151" s="5">
        <f>PortfolioData[[#This Row],[Gross_Rental_Income]] - PortfolioData[[#This Row],[Operating_Cost]] - PortfolioData[[#This Row],[Maintenance_Cost]]</f>
        <v>830738</v>
      </c>
      <c r="R151" s="5">
        <f>PortfolioData[[#This Row],[Adjusted_Debt_Outstanding]]*(PortfolioData[[#This Row],[Interest_Rate]]/100)</f>
        <v>97980.980499999991</v>
      </c>
      <c r="S151" s="5">
        <f>MIN(PortfolioData[[#This Row],[Debt_Outstanding]], PortfolioData[[#This Row],[Current_Value]]*0.8)</f>
        <v>2598965</v>
      </c>
      <c r="T151" s="5">
        <f>PortfolioData[[#This Row],[Net Operating Income (NOI)]]/PortfolioData[[#This Row],[Annual_Debt_Service]]</f>
        <v>8.478563857604998</v>
      </c>
      <c r="U151" s="5">
        <f>PortfolioData[[#This Row],[Net Operating Income (NOI)]]-PortfolioData[[#This Row],[Annual_Debt_Service]]</f>
        <v>732757.01950000005</v>
      </c>
      <c r="V151" s="5">
        <f>PortfolioData[[#This Row],[Net Operating Income (NOI)]]</f>
        <v>830738</v>
      </c>
      <c r="W151" s="3">
        <f>PortfolioData[[#This Row],[Gross_Rental_Income]] / PortfolioData[[#This Row],[Purchase_Price]]</f>
        <v>0.10163519927526612</v>
      </c>
      <c r="X151" s="3">
        <f>PortfolioData[[#This Row],[Net Operating Income (NOI)]]/PortfolioData[[#This Row],[Current_Value]]</f>
        <v>3.9954176565103201E-2</v>
      </c>
      <c r="Y151" s="3">
        <f>(PortfolioData[[#This Row],[Current_Value]]-PortfolioData[[#This Row],[Purchase_Price]]+PortfolioData[[#This Row],[Net Operating Income (NOI)]]) / PortfolioData[[#This Row],[Purchase_Price]]</f>
        <v>0.24800314543090049</v>
      </c>
      <c r="Z151" s="5">
        <f>_xlfn.PERCENTRANK.INC(PortfolioData[ROI],PortfolioData[[#This Row],[ROI]])</f>
        <v>0.55700000000000005</v>
      </c>
      <c r="AA151" s="3" t="str">
        <f>IF(PortfolioData[[#This Row],[ROI_Percentile]]&lt;=0.1,"Underperforming","Healthy")</f>
        <v>Healthy</v>
      </c>
      <c r="AB151" s="3">
        <f>PortfolioData[[#This Row],[Debt_Outstanding]]/PortfolioData[[#This Row],[Current_Value]]</f>
        <v>0.124996697510555</v>
      </c>
      <c r="AC151">
        <f>PortfolioData[[#This Row],[Units]]*PortfolioData[[#This Row],[Avg_Rent_per_Unit]]*12</f>
        <v>1760940</v>
      </c>
      <c r="AD151" s="13">
        <f>PortfolioData[[#This Row],[Potential_Revenue]]-PortfolioData[[#This Row],[Gross_Rental_Income]]</f>
        <v>0</v>
      </c>
      <c r="AE151" s="3">
        <f>IFERROR(PortfolioData[[#This Row],[Vacancy_Loss]]/PortfolioData[[#This Row],[Potential_Revenue]],0)</f>
        <v>0</v>
      </c>
      <c r="AF151" s="17">
        <f xml:space="preserve"> (PortfolioData[[#This Row],[Vacancy_%]] * 0.4) + (PortfolioData[[#This Row],[Debt_Ratio]] * 0.3) + (PortfolioData[[#This Row],[Interest_Rate]]/100 * 0.3)</f>
        <v>4.8809009253166502E-2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D16" sqref="D16"/>
    </sheetView>
  </sheetViews>
  <sheetFormatPr defaultRowHeight="14.4" x14ac:dyDescent="0.3"/>
  <cols>
    <col min="2" max="2" width="21.77734375" customWidth="1"/>
    <col min="3" max="3" width="17.88671875" customWidth="1"/>
    <col min="4" max="4" width="13.33203125" customWidth="1"/>
    <col min="5" max="5" width="20.109375" customWidth="1"/>
    <col min="6" max="6" width="18.5546875" customWidth="1"/>
    <col min="7" max="7" width="21.21875" customWidth="1"/>
  </cols>
  <sheetData>
    <row r="1" spans="1:7" x14ac:dyDescent="0.3">
      <c r="A1" s="1" t="s">
        <v>1</v>
      </c>
      <c r="B1" s="1" t="s">
        <v>175</v>
      </c>
      <c r="C1" s="1" t="s">
        <v>176</v>
      </c>
      <c r="D1" s="38" t="s">
        <v>177</v>
      </c>
      <c r="E1" s="1" t="s">
        <v>178</v>
      </c>
      <c r="F1" s="1" t="s">
        <v>179</v>
      </c>
      <c r="G1" s="1" t="s">
        <v>180</v>
      </c>
    </row>
    <row r="2" spans="1:7" x14ac:dyDescent="0.3">
      <c r="A2" t="s">
        <v>27</v>
      </c>
      <c r="B2">
        <v>1.34</v>
      </c>
      <c r="C2">
        <v>6.19</v>
      </c>
      <c r="D2" s="39">
        <v>6.45</v>
      </c>
      <c r="E2">
        <v>100</v>
      </c>
      <c r="F2">
        <v>4.37</v>
      </c>
      <c r="G2">
        <v>5.07</v>
      </c>
    </row>
    <row r="3" spans="1:7" x14ac:dyDescent="0.3">
      <c r="A3" t="s">
        <v>22</v>
      </c>
      <c r="B3">
        <v>3.22</v>
      </c>
      <c r="C3">
        <v>5.25</v>
      </c>
      <c r="D3" s="39">
        <v>4.47</v>
      </c>
      <c r="E3">
        <v>93</v>
      </c>
      <c r="F3">
        <v>6.69</v>
      </c>
      <c r="G3">
        <v>5.4</v>
      </c>
    </row>
    <row r="4" spans="1:7" x14ac:dyDescent="0.3">
      <c r="A4" t="s">
        <v>35</v>
      </c>
      <c r="B4">
        <v>3.15</v>
      </c>
      <c r="C4">
        <v>6.75</v>
      </c>
      <c r="D4" s="39">
        <v>6.66</v>
      </c>
      <c r="E4">
        <v>95</v>
      </c>
      <c r="F4">
        <v>6.55</v>
      </c>
      <c r="G4">
        <v>4.32</v>
      </c>
    </row>
    <row r="5" spans="1:7" x14ac:dyDescent="0.3">
      <c r="A5" t="s">
        <v>15</v>
      </c>
      <c r="B5">
        <v>4.2300000000000004</v>
      </c>
      <c r="C5">
        <v>3.72</v>
      </c>
      <c r="D5" s="39">
        <v>7.15</v>
      </c>
      <c r="E5">
        <v>72</v>
      </c>
      <c r="F5">
        <v>4.91</v>
      </c>
      <c r="G5">
        <v>4.91</v>
      </c>
    </row>
    <row r="6" spans="1:7" x14ac:dyDescent="0.3">
      <c r="A6" t="s">
        <v>19</v>
      </c>
      <c r="B6">
        <v>4.63</v>
      </c>
      <c r="C6">
        <v>7.32</v>
      </c>
      <c r="D6" s="39">
        <v>6.28</v>
      </c>
      <c r="E6">
        <v>60</v>
      </c>
      <c r="F6">
        <v>5.55</v>
      </c>
      <c r="G6">
        <v>5.03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</vt:lpstr>
      <vt:lpstr>Portfolio_Summary(Weighted ROI)</vt:lpstr>
      <vt:lpstr>Diagnostic_Analysis</vt:lpstr>
      <vt:lpstr>Capital Reallocation Model</vt:lpstr>
      <vt:lpstr>Portfolio_Data</vt:lpstr>
      <vt:lpstr>Market_Indicators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Debojyoti Bose</cp:lastModifiedBy>
  <dcterms:created xsi:type="dcterms:W3CDTF">2026-02-11T11:52:25Z</dcterms:created>
  <dcterms:modified xsi:type="dcterms:W3CDTF">2026-02-12T15:31:45Z</dcterms:modified>
</cp:coreProperties>
</file>